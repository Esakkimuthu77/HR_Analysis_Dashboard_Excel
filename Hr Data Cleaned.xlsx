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cf048a7cfb2d881c/Documents/"/>
    </mc:Choice>
  </mc:AlternateContent>
  <xr:revisionPtr revIDLastSave="2217" documentId="8_{FB1F68F0-8E51-4AC3-AE0E-07850F8F9610}" xr6:coauthVersionLast="47" xr6:coauthVersionMax="47" xr10:uidLastSave="{0A16A840-7622-498B-A319-E12DDE23DFB0}"/>
  <bookViews>
    <workbookView xWindow="-120" yWindow="-120" windowWidth="19440" windowHeight="10320" firstSheet="1" activeTab="3" xr2:uid="{03F25F92-C494-4F5D-A48E-7A7963B9994C}"/>
  </bookViews>
  <sheets>
    <sheet name="Table1" sheetId="3" state="hidden" r:id="rId1"/>
    <sheet name="data" sheetId="1" r:id="rId2"/>
    <sheet name="Pivot Table" sheetId="2" r:id="rId3"/>
    <sheet name="Dashboard" sheetId="4" r:id="rId4"/>
  </sheets>
  <definedNames>
    <definedName name="_xlnm._FilterDatabase" localSheetId="1" hidden="1">data!$A$1:$M$500</definedName>
    <definedName name="ExternalData_1" localSheetId="0" hidden="1">Table1!$A$1:$O$500</definedName>
    <definedName name="Slicer_Job_Titl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a="1"/>
  <c r="P3" i="1" s="1"/>
  <c r="P4" i="1" a="1"/>
  <c r="P4" i="1" s="1"/>
  <c r="P5" i="1" a="1"/>
  <c r="P5" i="1" s="1"/>
  <c r="P6" i="1" a="1"/>
  <c r="P6" i="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c r="P127" i="1" a="1"/>
  <c r="P127" i="1" s="1"/>
  <c r="P128" i="1" a="1"/>
  <c r="P128" i="1" s="1"/>
  <c r="P129" i="1" a="1"/>
  <c r="P129" i="1" s="1"/>
  <c r="P130" i="1" a="1"/>
  <c r="P130" i="1" s="1"/>
  <c r="P131" i="1" a="1"/>
  <c r="P131" i="1" s="1"/>
  <c r="P132" i="1" a="1"/>
  <c r="P132" i="1" s="1"/>
  <c r="P133" i="1" a="1"/>
  <c r="P133" i="1" s="1"/>
  <c r="P134" i="1" a="1"/>
  <c r="P134" i="1" s="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s="1"/>
  <c r="P146" i="1" a="1"/>
  <c r="P146" i="1" s="1"/>
  <c r="P147" i="1" a="1"/>
  <c r="P147" i="1" s="1"/>
  <c r="P148" i="1" a="1"/>
  <c r="P148" i="1" s="1"/>
  <c r="P149" i="1" a="1"/>
  <c r="P149" i="1" s="1"/>
  <c r="P150" i="1" a="1"/>
  <c r="P150" i="1" s="1"/>
  <c r="P151" i="1" a="1"/>
  <c r="P151" i="1" s="1"/>
  <c r="P152" i="1" a="1"/>
  <c r="P152" i="1" s="1"/>
  <c r="P153" i="1" a="1"/>
  <c r="P153" i="1" s="1"/>
  <c r="P154" i="1" a="1"/>
  <c r="P154" i="1" s="1"/>
  <c r="P155" i="1" a="1"/>
  <c r="P155" i="1" s="1"/>
  <c r="P156" i="1" a="1"/>
  <c r="P156" i="1" s="1"/>
  <c r="P157" i="1" a="1"/>
  <c r="P157" i="1" s="1"/>
  <c r="P158" i="1" a="1"/>
  <c r="P158" i="1" s="1"/>
  <c r="P159" i="1" a="1"/>
  <c r="P159" i="1" s="1"/>
  <c r="P160" i="1" a="1"/>
  <c r="P160" i="1" s="1"/>
  <c r="P161" i="1" a="1"/>
  <c r="P161" i="1" s="1"/>
  <c r="P162" i="1" a="1"/>
  <c r="P162" i="1" s="1"/>
  <c r="P163" i="1" a="1"/>
  <c r="P163" i="1" s="1"/>
  <c r="P164" i="1" a="1"/>
  <c r="P164" i="1" s="1"/>
  <c r="P165" i="1" a="1"/>
  <c r="P165" i="1" s="1"/>
  <c r="P166" i="1" a="1"/>
  <c r="P166" i="1" s="1"/>
  <c r="P167" i="1" a="1"/>
  <c r="P167" i="1" s="1"/>
  <c r="P168" i="1" a="1"/>
  <c r="P168" i="1" s="1"/>
  <c r="P169" i="1" a="1"/>
  <c r="P169" i="1" s="1"/>
  <c r="P170" i="1" a="1"/>
  <c r="P170" i="1" s="1"/>
  <c r="P171" i="1" a="1"/>
  <c r="P171" i="1" s="1"/>
  <c r="P172" i="1" a="1"/>
  <c r="P172" i="1" s="1"/>
  <c r="P173" i="1" a="1"/>
  <c r="P173" i="1" s="1"/>
  <c r="P174" i="1" a="1"/>
  <c r="P174" i="1" s="1"/>
  <c r="P175" i="1" a="1"/>
  <c r="P175" i="1" s="1"/>
  <c r="P176" i="1" a="1"/>
  <c r="P176" i="1" s="1"/>
  <c r="P177" i="1" a="1"/>
  <c r="P177" i="1" s="1"/>
  <c r="P178" i="1" a="1"/>
  <c r="P178" i="1" s="1"/>
  <c r="P179" i="1" a="1"/>
  <c r="P179" i="1" s="1"/>
  <c r="P180" i="1" a="1"/>
  <c r="P180" i="1" s="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s="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s="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s="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s="1"/>
  <c r="P304" i="1" a="1"/>
  <c r="P304" i="1" s="1"/>
  <c r="P305" i="1" a="1"/>
  <c r="P305" i="1" s="1"/>
  <c r="P306" i="1" a="1"/>
  <c r="P306" i="1" s="1"/>
  <c r="P307" i="1" a="1"/>
  <c r="P307" i="1" s="1"/>
  <c r="P308" i="1" a="1"/>
  <c r="P308" i="1" s="1"/>
  <c r="P309" i="1" a="1"/>
  <c r="P309" i="1" s="1"/>
  <c r="P310" i="1" a="1"/>
  <c r="P310" i="1" s="1"/>
  <c r="P311" i="1" a="1"/>
  <c r="P311" i="1" s="1"/>
  <c r="P312" i="1" a="1"/>
  <c r="P312" i="1" s="1"/>
  <c r="P313" i="1" a="1"/>
  <c r="P313" i="1" s="1"/>
  <c r="P314" i="1" a="1"/>
  <c r="P314" i="1" s="1"/>
  <c r="P315" i="1" a="1"/>
  <c r="P315" i="1" s="1"/>
  <c r="P316" i="1" a="1"/>
  <c r="P316" i="1" s="1"/>
  <c r="P317" i="1" a="1"/>
  <c r="P317" i="1" s="1"/>
  <c r="P318" i="1" a="1"/>
  <c r="P318" i="1" s="1"/>
  <c r="P319" i="1" a="1"/>
  <c r="P319" i="1" s="1"/>
  <c r="P320" i="1" a="1"/>
  <c r="P320" i="1" s="1"/>
  <c r="P321" i="1" a="1"/>
  <c r="P321" i="1" s="1"/>
  <c r="P322" i="1" a="1"/>
  <c r="P322" i="1" s="1"/>
  <c r="P323" i="1" a="1"/>
  <c r="P323" i="1" s="1"/>
  <c r="P324" i="1" a="1"/>
  <c r="P324" i="1" s="1"/>
  <c r="P325" i="1" a="1"/>
  <c r="P325" i="1" s="1"/>
  <c r="P326" i="1" a="1"/>
  <c r="P326" i="1" s="1"/>
  <c r="P327" i="1" a="1"/>
  <c r="P327" i="1" s="1"/>
  <c r="P328" i="1" a="1"/>
  <c r="P328" i="1" s="1"/>
  <c r="P329" i="1" a="1"/>
  <c r="P329" i="1" s="1"/>
  <c r="P330" i="1" a="1"/>
  <c r="P330" i="1" s="1"/>
  <c r="P331" i="1" a="1"/>
  <c r="P331" i="1" s="1"/>
  <c r="P332" i="1" a="1"/>
  <c r="P332" i="1" s="1"/>
  <c r="P333" i="1" a="1"/>
  <c r="P333" i="1" s="1"/>
  <c r="P334" i="1" a="1"/>
  <c r="P334" i="1" s="1"/>
  <c r="P335" i="1" a="1"/>
  <c r="P335" i="1" s="1"/>
  <c r="P336" i="1" a="1"/>
  <c r="P336" i="1" s="1"/>
  <c r="P337" i="1" a="1"/>
  <c r="P337" i="1" s="1"/>
  <c r="P338" i="1" a="1"/>
  <c r="P338" i="1" s="1"/>
  <c r="P339" i="1" a="1"/>
  <c r="P339" i="1" s="1"/>
  <c r="P340" i="1" a="1"/>
  <c r="P340" i="1" s="1"/>
  <c r="P341" i="1" a="1"/>
  <c r="P341" i="1" s="1"/>
  <c r="P342" i="1" a="1"/>
  <c r="P342" i="1" s="1"/>
  <c r="P343" i="1" a="1"/>
  <c r="P343" i="1" s="1"/>
  <c r="P344" i="1" a="1"/>
  <c r="P344" i="1" s="1"/>
  <c r="P345" i="1" a="1"/>
  <c r="P345" i="1" s="1"/>
  <c r="P346" i="1" a="1"/>
  <c r="P346" i="1" s="1"/>
  <c r="P347" i="1" a="1"/>
  <c r="P347" i="1" s="1"/>
  <c r="P348" i="1" a="1"/>
  <c r="P348" i="1" s="1"/>
  <c r="P349" i="1" a="1"/>
  <c r="P349" i="1" s="1"/>
  <c r="P350" i="1" a="1"/>
  <c r="P350" i="1" s="1"/>
  <c r="P351" i="1" a="1"/>
  <c r="P351" i="1" s="1"/>
  <c r="P352" i="1" a="1"/>
  <c r="P352" i="1" s="1"/>
  <c r="P353" i="1" a="1"/>
  <c r="P353" i="1" s="1"/>
  <c r="P354" i="1" a="1"/>
  <c r="P354" i="1" s="1"/>
  <c r="P355" i="1" a="1"/>
  <c r="P355" i="1" s="1"/>
  <c r="P356" i="1" a="1"/>
  <c r="P356" i="1" s="1"/>
  <c r="P357" i="1" a="1"/>
  <c r="P357" i="1" s="1"/>
  <c r="P358" i="1" a="1"/>
  <c r="P358" i="1" s="1"/>
  <c r="P359" i="1" a="1"/>
  <c r="P359" i="1" s="1"/>
  <c r="P360" i="1" a="1"/>
  <c r="P360" i="1" s="1"/>
  <c r="P361" i="1" a="1"/>
  <c r="P361" i="1" s="1"/>
  <c r="P362" i="1" a="1"/>
  <c r="P362" i="1" s="1"/>
  <c r="P363" i="1" a="1"/>
  <c r="P363" i="1" s="1"/>
  <c r="P364" i="1" a="1"/>
  <c r="P364" i="1" s="1"/>
  <c r="P365" i="1" a="1"/>
  <c r="P365" i="1" s="1"/>
  <c r="P366" i="1" a="1"/>
  <c r="P366" i="1" s="1"/>
  <c r="P367" i="1" a="1"/>
  <c r="P367" i="1" s="1"/>
  <c r="P368" i="1" a="1"/>
  <c r="P368" i="1" s="1"/>
  <c r="P369" i="1" a="1"/>
  <c r="P369" i="1" s="1"/>
  <c r="P370" i="1" a="1"/>
  <c r="P370" i="1" s="1"/>
  <c r="P371" i="1" a="1"/>
  <c r="P371" i="1" s="1"/>
  <c r="P372" i="1" a="1"/>
  <c r="P372" i="1" s="1"/>
  <c r="P373" i="1" a="1"/>
  <c r="P373" i="1" s="1"/>
  <c r="P374" i="1" a="1"/>
  <c r="P374" i="1" s="1"/>
  <c r="P375" i="1" a="1"/>
  <c r="P375" i="1" s="1"/>
  <c r="P376" i="1" a="1"/>
  <c r="P376" i="1" s="1"/>
  <c r="P377" i="1" a="1"/>
  <c r="P377" i="1" s="1"/>
  <c r="P378" i="1" a="1"/>
  <c r="P378" i="1" s="1"/>
  <c r="P379" i="1" a="1"/>
  <c r="P379" i="1" s="1"/>
  <c r="P380" i="1" a="1"/>
  <c r="P380" i="1" s="1"/>
  <c r="P381" i="1" a="1"/>
  <c r="P381" i="1" s="1"/>
  <c r="P382" i="1" a="1"/>
  <c r="P382" i="1" s="1"/>
  <c r="P383" i="1" a="1"/>
  <c r="P383" i="1" s="1"/>
  <c r="P384" i="1" a="1"/>
  <c r="P384" i="1" s="1"/>
  <c r="P385" i="1" a="1"/>
  <c r="P385" i="1" s="1"/>
  <c r="P386" i="1" a="1"/>
  <c r="P386" i="1" s="1"/>
  <c r="P387" i="1" a="1"/>
  <c r="P387" i="1" s="1"/>
  <c r="P388" i="1" a="1"/>
  <c r="P388" i="1" s="1"/>
  <c r="P389" i="1" a="1"/>
  <c r="P389" i="1" s="1"/>
  <c r="P390" i="1" a="1"/>
  <c r="P390" i="1" s="1"/>
  <c r="P391" i="1" a="1"/>
  <c r="P391" i="1" s="1"/>
  <c r="P392" i="1" a="1"/>
  <c r="P392" i="1" s="1"/>
  <c r="P393" i="1" a="1"/>
  <c r="P393" i="1" s="1"/>
  <c r="P394" i="1" a="1"/>
  <c r="P394" i="1" s="1"/>
  <c r="P395" i="1" a="1"/>
  <c r="P395" i="1" s="1"/>
  <c r="P396" i="1" a="1"/>
  <c r="P396" i="1" s="1"/>
  <c r="P397" i="1" a="1"/>
  <c r="P397" i="1" s="1"/>
  <c r="P398" i="1" a="1"/>
  <c r="P398" i="1" s="1"/>
  <c r="P399" i="1" a="1"/>
  <c r="P399" i="1" s="1"/>
  <c r="P400" i="1" a="1"/>
  <c r="P400" i="1" s="1"/>
  <c r="P401" i="1" a="1"/>
  <c r="P401" i="1" s="1"/>
  <c r="P402" i="1" a="1"/>
  <c r="P402" i="1" s="1"/>
  <c r="P403" i="1" a="1"/>
  <c r="P403" i="1" s="1"/>
  <c r="P404" i="1" a="1"/>
  <c r="P404" i="1" s="1"/>
  <c r="P405" i="1" a="1"/>
  <c r="P405" i="1" s="1"/>
  <c r="P406" i="1" a="1"/>
  <c r="P406" i="1" s="1"/>
  <c r="P407" i="1" a="1"/>
  <c r="P407" i="1" s="1"/>
  <c r="P408" i="1" a="1"/>
  <c r="P408" i="1" s="1"/>
  <c r="P409" i="1" a="1"/>
  <c r="P409" i="1" s="1"/>
  <c r="P410" i="1" a="1"/>
  <c r="P410" i="1" s="1"/>
  <c r="P411" i="1" a="1"/>
  <c r="P411" i="1" s="1"/>
  <c r="P412" i="1" a="1"/>
  <c r="P412" i="1" s="1"/>
  <c r="P413" i="1" a="1"/>
  <c r="P413" i="1" s="1"/>
  <c r="P414" i="1" a="1"/>
  <c r="P414" i="1" s="1"/>
  <c r="P415" i="1" a="1"/>
  <c r="P415" i="1" s="1"/>
  <c r="P416" i="1" a="1"/>
  <c r="P416" i="1" s="1"/>
  <c r="P417" i="1" a="1"/>
  <c r="P417" i="1" s="1"/>
  <c r="P418" i="1" a="1"/>
  <c r="P418" i="1" s="1"/>
  <c r="P419" i="1" a="1"/>
  <c r="P419" i="1" s="1"/>
  <c r="P420" i="1" a="1"/>
  <c r="P420" i="1" s="1"/>
  <c r="P421" i="1" a="1"/>
  <c r="P421" i="1" s="1"/>
  <c r="P422" i="1" a="1"/>
  <c r="P422" i="1" s="1"/>
  <c r="P423" i="1" a="1"/>
  <c r="P423" i="1" s="1"/>
  <c r="P424" i="1" a="1"/>
  <c r="P424" i="1" s="1"/>
  <c r="P425" i="1" a="1"/>
  <c r="P425" i="1" s="1"/>
  <c r="P426" i="1" a="1"/>
  <c r="P426" i="1" s="1"/>
  <c r="P427" i="1" a="1"/>
  <c r="P427" i="1" s="1"/>
  <c r="P428" i="1" a="1"/>
  <c r="P428" i="1" s="1"/>
  <c r="P429" i="1" a="1"/>
  <c r="P429" i="1" s="1"/>
  <c r="P430" i="1" a="1"/>
  <c r="P430" i="1" s="1"/>
  <c r="P431" i="1" a="1"/>
  <c r="P431" i="1" s="1"/>
  <c r="P432" i="1" a="1"/>
  <c r="P432" i="1" s="1"/>
  <c r="P433" i="1" a="1"/>
  <c r="P433" i="1" s="1"/>
  <c r="P434" i="1" a="1"/>
  <c r="P434" i="1" s="1"/>
  <c r="P435" i="1" a="1"/>
  <c r="P435" i="1" s="1"/>
  <c r="P436" i="1" a="1"/>
  <c r="P436" i="1" s="1"/>
  <c r="P437" i="1" a="1"/>
  <c r="P437" i="1" s="1"/>
  <c r="P438" i="1" a="1"/>
  <c r="P438" i="1" s="1"/>
  <c r="P439" i="1" a="1"/>
  <c r="P439" i="1" s="1"/>
  <c r="P440" i="1" a="1"/>
  <c r="P440" i="1" s="1"/>
  <c r="P441" i="1" a="1"/>
  <c r="P441" i="1" s="1"/>
  <c r="P442" i="1" a="1"/>
  <c r="P442" i="1" s="1"/>
  <c r="P443" i="1" a="1"/>
  <c r="P443" i="1" s="1"/>
  <c r="P444" i="1" a="1"/>
  <c r="P444" i="1" s="1"/>
  <c r="P445" i="1" a="1"/>
  <c r="P445" i="1" s="1"/>
  <c r="P446" i="1" a="1"/>
  <c r="P446" i="1" s="1"/>
  <c r="P447" i="1" a="1"/>
  <c r="P447" i="1" s="1"/>
  <c r="P448" i="1" a="1"/>
  <c r="P448" i="1" s="1"/>
  <c r="P449" i="1" a="1"/>
  <c r="P449" i="1" s="1"/>
  <c r="P450" i="1" a="1"/>
  <c r="P450" i="1" s="1"/>
  <c r="P451" i="1" a="1"/>
  <c r="P451" i="1" s="1"/>
  <c r="P452" i="1" a="1"/>
  <c r="P452" i="1" s="1"/>
  <c r="P453" i="1" a="1"/>
  <c r="P453" i="1" s="1"/>
  <c r="P454" i="1" a="1"/>
  <c r="P454" i="1" s="1"/>
  <c r="P455" i="1" a="1"/>
  <c r="P455" i="1" s="1"/>
  <c r="P456" i="1" a="1"/>
  <c r="P456" i="1" s="1"/>
  <c r="P457" i="1" a="1"/>
  <c r="P457" i="1" s="1"/>
  <c r="P458" i="1" a="1"/>
  <c r="P458" i="1" s="1"/>
  <c r="P459" i="1" a="1"/>
  <c r="P459" i="1" s="1"/>
  <c r="P460" i="1" a="1"/>
  <c r="P460" i="1" s="1"/>
  <c r="P461" i="1" a="1"/>
  <c r="P461" i="1" s="1"/>
  <c r="P462" i="1" a="1"/>
  <c r="P462" i="1" s="1"/>
  <c r="P463" i="1" a="1"/>
  <c r="P463" i="1" s="1"/>
  <c r="P464" i="1" a="1"/>
  <c r="P464" i="1" s="1"/>
  <c r="P465" i="1" a="1"/>
  <c r="P465" i="1" s="1"/>
  <c r="P466" i="1" a="1"/>
  <c r="P466" i="1" s="1"/>
  <c r="P467" i="1" a="1"/>
  <c r="P467" i="1" s="1"/>
  <c r="P468" i="1" a="1"/>
  <c r="P468" i="1" s="1"/>
  <c r="P469" i="1" a="1"/>
  <c r="P469" i="1" s="1"/>
  <c r="P470" i="1" a="1"/>
  <c r="P470" i="1" s="1"/>
  <c r="P471" i="1" a="1"/>
  <c r="P471" i="1" s="1"/>
  <c r="P472" i="1" a="1"/>
  <c r="P472" i="1" s="1"/>
  <c r="P473" i="1" a="1"/>
  <c r="P473" i="1" s="1"/>
  <c r="P474" i="1" a="1"/>
  <c r="P474" i="1" s="1"/>
  <c r="P475" i="1" a="1"/>
  <c r="P475" i="1" s="1"/>
  <c r="P476" i="1" a="1"/>
  <c r="P476" i="1" s="1"/>
  <c r="P477" i="1" a="1"/>
  <c r="P477" i="1" s="1"/>
  <c r="P478" i="1" a="1"/>
  <c r="P478" i="1" s="1"/>
  <c r="P479" i="1" a="1"/>
  <c r="P479" i="1" s="1"/>
  <c r="P480" i="1" a="1"/>
  <c r="P480" i="1" s="1"/>
  <c r="P481" i="1" a="1"/>
  <c r="P481" i="1" s="1"/>
  <c r="P482" i="1" a="1"/>
  <c r="P482" i="1" s="1"/>
  <c r="P483" i="1" a="1"/>
  <c r="P483" i="1" s="1"/>
  <c r="P484" i="1" a="1"/>
  <c r="P484" i="1" s="1"/>
  <c r="P485" i="1" a="1"/>
  <c r="P485" i="1" s="1"/>
  <c r="P486" i="1" a="1"/>
  <c r="P486" i="1" s="1"/>
  <c r="P487" i="1" a="1"/>
  <c r="P487" i="1" s="1"/>
  <c r="P488" i="1" a="1"/>
  <c r="P488" i="1" s="1"/>
  <c r="P489" i="1" a="1"/>
  <c r="P489" i="1" s="1"/>
  <c r="P490" i="1" a="1"/>
  <c r="P490" i="1" s="1"/>
  <c r="P491" i="1" a="1"/>
  <c r="P491" i="1" s="1"/>
  <c r="P492" i="1" a="1"/>
  <c r="P492" i="1" s="1"/>
  <c r="P493" i="1" a="1"/>
  <c r="P493" i="1" s="1"/>
  <c r="P494" i="1" a="1"/>
  <c r="P494" i="1" s="1"/>
  <c r="P495" i="1" a="1"/>
  <c r="P495" i="1" s="1"/>
  <c r="P496" i="1" a="1"/>
  <c r="P496" i="1" s="1"/>
  <c r="P497" i="1" a="1"/>
  <c r="P497" i="1" s="1"/>
  <c r="P498" i="1" a="1"/>
  <c r="P498" i="1" s="1"/>
  <c r="P499" i="1" a="1"/>
  <c r="P499" i="1" s="1"/>
  <c r="P500" i="1" a="1"/>
  <c r="P500" i="1" s="1"/>
  <c r="P2" i="1" a="1"/>
  <c r="P2" i="1" s="1"/>
  <c r="N4" i="1" a="1"/>
  <c r="N4" i="1" s="1"/>
  <c r="N2" i="1" a="1"/>
  <c r="N2" i="1" s="1"/>
  <c r="N3" i="1" a="1"/>
  <c r="N3"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194057-7BD0-4945-B397-8A6D64917EE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<sst xmlns="http://schemas.openxmlformats.org/spreadsheetml/2006/main" count="9643" uniqueCount="1084">
  <si>
    <t>E01502</t>
  </si>
  <si>
    <t>Non-binary</t>
  </si>
  <si>
    <t>Manager</t>
  </si>
  <si>
    <t>linda.robinson@northfield-hr.com</t>
  </si>
  <si>
    <t>Chicago</t>
  </si>
  <si>
    <t>E02587</t>
  </si>
  <si>
    <t>Liam</t>
  </si>
  <si>
    <t>Lopez</t>
  </si>
  <si>
    <t>Female</t>
  </si>
  <si>
    <t>Engineering</t>
  </si>
  <si>
    <t>liam.lopez@northfield-hr.com</t>
  </si>
  <si>
    <t>San Diego</t>
  </si>
  <si>
    <t>E02654</t>
  </si>
  <si>
    <t>elizabeth.gonzalez@northfield-hr.com</t>
  </si>
  <si>
    <t>Austin</t>
  </si>
  <si>
    <t>E01056</t>
  </si>
  <si>
    <t>Thomas</t>
  </si>
  <si>
    <t>Analyst</t>
  </si>
  <si>
    <t>thomas.thomas@northfield-hr.com</t>
  </si>
  <si>
    <t>Seattle</t>
  </si>
  <si>
    <t>E00706</t>
  </si>
  <si>
    <t>William</t>
  </si>
  <si>
    <t>Harris</t>
  </si>
  <si>
    <t>Male</t>
  </si>
  <si>
    <t>william.harris@northfield-hr.com</t>
  </si>
  <si>
    <t>Denver</t>
  </si>
  <si>
    <t>E00107</t>
  </si>
  <si>
    <t>john.torres@northfield-hr.com</t>
  </si>
  <si>
    <t>New York</t>
  </si>
  <si>
    <t>E00590</t>
  </si>
  <si>
    <t>Patricia</t>
  </si>
  <si>
    <t>Smith</t>
  </si>
  <si>
    <t>IT</t>
  </si>
  <si>
    <t>patricia.smith@northfield-hr.com</t>
  </si>
  <si>
    <t>E02469</t>
  </si>
  <si>
    <t>Garcia</t>
  </si>
  <si>
    <t>Research &amp; Development</t>
  </si>
  <si>
    <t>Senior Analyst</t>
  </si>
  <si>
    <t>john.garcia@northfield-hr.com</t>
  </si>
  <si>
    <t>Phoenix</t>
  </si>
  <si>
    <t>E02414</t>
  </si>
  <si>
    <t>barbara.johnson@northfield-hr.com</t>
  </si>
  <si>
    <t>E01601</t>
  </si>
  <si>
    <t>Barbara</t>
  </si>
  <si>
    <t>Associate</t>
  </si>
  <si>
    <t>barbara.harris@northfield-hr.com</t>
  </si>
  <si>
    <t>E02465</t>
  </si>
  <si>
    <t>Sarah</t>
  </si>
  <si>
    <t>sarah.thomas@northfield-hr.com</t>
  </si>
  <si>
    <t>Miami</t>
  </si>
  <si>
    <t>E00229</t>
  </si>
  <si>
    <t>jessica.clark@northfield-hr.com</t>
  </si>
  <si>
    <t>E00916</t>
  </si>
  <si>
    <t>priya.clark@northfield-hr.com</t>
  </si>
  <si>
    <t>Dallas</t>
  </si>
  <si>
    <t>E00795</t>
  </si>
  <si>
    <t>Wei</t>
  </si>
  <si>
    <t>wei.torres@northfield-hr.com</t>
  </si>
  <si>
    <t>E03022</t>
  </si>
  <si>
    <t>Jackson</t>
  </si>
  <si>
    <t>thomas.jackson@northfield-hr.com</t>
  </si>
  <si>
    <t>E03544</t>
  </si>
  <si>
    <t>Michael</t>
  </si>
  <si>
    <t>Specialist</t>
  </si>
  <si>
    <t>michael.allen@northfield-hr.com</t>
  </si>
  <si>
    <t>Minneapolis</t>
  </si>
  <si>
    <t>E01074</t>
  </si>
  <si>
    <t>Robert</t>
  </si>
  <si>
    <t>Adams</t>
  </si>
  <si>
    <t>robert.adams@northfield-hr.com</t>
  </si>
  <si>
    <t>E03352</t>
  </si>
  <si>
    <t>priya.johnson@northfield-hr.com</t>
  </si>
  <si>
    <t>E01745</t>
  </si>
  <si>
    <t>Chidi</t>
  </si>
  <si>
    <t>chidi.johnson@northfield-hr.com</t>
  </si>
  <si>
    <t>E01085</t>
  </si>
  <si>
    <t>Ramirez</t>
  </si>
  <si>
    <t>lucas.ramirez@northfield-hr.com</t>
  </si>
  <si>
    <t>E00927</t>
  </si>
  <si>
    <t>Ava</t>
  </si>
  <si>
    <t>Miller</t>
  </si>
  <si>
    <t>ava.miller@northfield-hr.com</t>
  </si>
  <si>
    <t>E03050</t>
  </si>
  <si>
    <t>Nguyen</t>
  </si>
  <si>
    <t>liam.nguyen@northfield-hr.com</t>
  </si>
  <si>
    <t>Nashville</t>
  </si>
  <si>
    <t>E01118</t>
  </si>
  <si>
    <t>Jessica</t>
  </si>
  <si>
    <t>Martinez</t>
  </si>
  <si>
    <t>jessica.martinez@northfield-hr.com</t>
  </si>
  <si>
    <t>E00643</t>
  </si>
  <si>
    <t>Robinson</t>
  </si>
  <si>
    <t>wei.robinson@northfield-hr.com</t>
  </si>
  <si>
    <t>E02898</t>
  </si>
  <si>
    <t>Mary</t>
  </si>
  <si>
    <t>mary.martin@northfield-hr.com</t>
  </si>
  <si>
    <t>E00502</t>
  </si>
  <si>
    <t>hiroshi.sanchez@northfield-hr.com</t>
  </si>
  <si>
    <t>E04067</t>
  </si>
  <si>
    <t>Richard</t>
  </si>
  <si>
    <t>Coordinator</t>
  </si>
  <si>
    <t>richard.wright@northfield-hr.com</t>
  </si>
  <si>
    <t>E00334</t>
  </si>
  <si>
    <t>Diego</t>
  </si>
  <si>
    <t>Wilson</t>
  </si>
  <si>
    <t>Senior Manager</t>
  </si>
  <si>
    <t>diego.wilson@northfield-hr.com</t>
  </si>
  <si>
    <t>Portland</t>
  </si>
  <si>
    <t>E04685</t>
  </si>
  <si>
    <t>ava.sanchez@northfield-hr.com</t>
  </si>
  <si>
    <t>E00487</t>
  </si>
  <si>
    <t>john.scott@northfield-hr.com</t>
  </si>
  <si>
    <t>E01963</t>
  </si>
  <si>
    <t>sofia.nguyen@northfield-hr.com</t>
  </si>
  <si>
    <t>E00394</t>
  </si>
  <si>
    <t>Fatima</t>
  </si>
  <si>
    <t>fatima.smith@northfield-hr.com</t>
  </si>
  <si>
    <t>E01431</t>
  </si>
  <si>
    <t>Rodriguez</t>
  </si>
  <si>
    <t>wei.rodriguez@northfield-hr.com</t>
  </si>
  <si>
    <t>Boston</t>
  </si>
  <si>
    <t>E03357</t>
  </si>
  <si>
    <t>barbara.clark@northfield-hr.com</t>
  </si>
  <si>
    <t>E01756</t>
  </si>
  <si>
    <t>Martin</t>
  </si>
  <si>
    <t>jessica.martin@northfield-hr.com</t>
  </si>
  <si>
    <t>E02516</t>
  </si>
  <si>
    <t>Jennifer</t>
  </si>
  <si>
    <t>jennifer.robinson@northfield-hr.com</t>
  </si>
  <si>
    <t>E03586</t>
  </si>
  <si>
    <t>karen.rodriguez@northfield-hr.com</t>
  </si>
  <si>
    <t>E04316</t>
  </si>
  <si>
    <t>John</t>
  </si>
  <si>
    <t>Sales</t>
  </si>
  <si>
    <t>john.lee@northfield-hr.com</t>
  </si>
  <si>
    <t>E02795</t>
  </si>
  <si>
    <t>james.martin@northfield-hr.com</t>
  </si>
  <si>
    <t>E02100</t>
  </si>
  <si>
    <t>Gonzalez</t>
  </si>
  <si>
    <t>robert.gonzalez@northfield-hr.com</t>
  </si>
  <si>
    <t>E03600</t>
  </si>
  <si>
    <t>Walker</t>
  </si>
  <si>
    <t>Marketing</t>
  </si>
  <si>
    <t>liam.walker@northfield-hr.com</t>
  </si>
  <si>
    <t>E04122</t>
  </si>
  <si>
    <t>elizabeth.rodriguez@northfield-hr.com</t>
  </si>
  <si>
    <t>E00030</t>
  </si>
  <si>
    <t>michael.ramirez@northfield-hr.com</t>
  </si>
  <si>
    <t>E00066</t>
  </si>
  <si>
    <t>william.garcia@northfield-hr.com</t>
  </si>
  <si>
    <t>E00839</t>
  </si>
  <si>
    <t>fatima.hill@northfield-hr.com</t>
  </si>
  <si>
    <t>E03907</t>
  </si>
  <si>
    <t>Thompson</t>
  </si>
  <si>
    <t>Customer Support</t>
  </si>
  <si>
    <t>charles.thompson@northfield-hr.com</t>
  </si>
  <si>
    <t>E03774</t>
  </si>
  <si>
    <t>john.thompson@northfield-hr.com</t>
  </si>
  <si>
    <t>E04636</t>
  </si>
  <si>
    <t>hiroshi.anderson@northfield-hr.com</t>
  </si>
  <si>
    <t>E03162</t>
  </si>
  <si>
    <t>Director</t>
  </si>
  <si>
    <t>david.thomas@northfield-hr.com</t>
  </si>
  <si>
    <t>E02660</t>
  </si>
  <si>
    <t>richard.williams@northfield-hr.com</t>
  </si>
  <si>
    <t>E04616</t>
  </si>
  <si>
    <t>Perez</t>
  </si>
  <si>
    <t>elizabeth.perez@northfield-hr.com</t>
  </si>
  <si>
    <t>E04629</t>
  </si>
  <si>
    <t>Jones</t>
  </si>
  <si>
    <t>hiroshi.jones@northfield-hr.com</t>
  </si>
  <si>
    <t>E02452</t>
  </si>
  <si>
    <t>sofia.allen@northfield-hr.com</t>
  </si>
  <si>
    <t>E02847</t>
  </si>
  <si>
    <t>ava.thomas@northfield-hr.com</t>
  </si>
  <si>
    <t>E01145</t>
  </si>
  <si>
    <t>noah.martinez@northfield-hr.com</t>
  </si>
  <si>
    <t>E03079</t>
  </si>
  <si>
    <t>susan.nguyen@northfield-hr.com</t>
  </si>
  <si>
    <t>E01104</t>
  </si>
  <si>
    <t>Hill</t>
  </si>
  <si>
    <t>Human Resources</t>
  </si>
  <si>
    <t>wei.hill@northfield-hr.com</t>
  </si>
  <si>
    <t>E00169</t>
  </si>
  <si>
    <t>Mateo</t>
  </si>
  <si>
    <t>mateo.davis@northfield-hr.com</t>
  </si>
  <si>
    <t>E01671</t>
  </si>
  <si>
    <t>barbara.nguyen@northfield-hr.com</t>
  </si>
  <si>
    <t>E02571</t>
  </si>
  <si>
    <t>mateo.moore@northfield-hr.com</t>
  </si>
  <si>
    <t>E02378</t>
  </si>
  <si>
    <t>robert.lopez@northfield-hr.com</t>
  </si>
  <si>
    <t>E04396</t>
  </si>
  <si>
    <t>sofia.martinez@northfield-hr.com</t>
  </si>
  <si>
    <t>E04258</t>
  </si>
  <si>
    <t>mohammed.torres@northfield-hr.com</t>
  </si>
  <si>
    <t>E03863</t>
  </si>
  <si>
    <t>fatima.scott@northfield-hr.com</t>
  </si>
  <si>
    <t>E00024</t>
  </si>
  <si>
    <t>david.walker@northfield-hr.com</t>
  </si>
  <si>
    <t>E02634</t>
  </si>
  <si>
    <t>aiko.moore@northfield-hr.com</t>
  </si>
  <si>
    <t>E03341</t>
  </si>
  <si>
    <t>Operations</t>
  </si>
  <si>
    <t>john.adams@northfield-hr.com</t>
  </si>
  <si>
    <t>E02216</t>
  </si>
  <si>
    <t>olga.harris@northfield-hr.com</t>
  </si>
  <si>
    <t>Atlanta</t>
  </si>
  <si>
    <t>E03683</t>
  </si>
  <si>
    <t>charles.smith@northfield-hr.com</t>
  </si>
  <si>
    <t>E01683</t>
  </si>
  <si>
    <t>priya.hernandez@northfield-hr.com</t>
  </si>
  <si>
    <t>E01908</t>
  </si>
  <si>
    <t>thomas.lopez@northfield-hr.com</t>
  </si>
  <si>
    <t>E00085</t>
  </si>
  <si>
    <t>Anderson</t>
  </si>
  <si>
    <t>VP</t>
  </si>
  <si>
    <t>fatima.anderson@northfield-hr.com</t>
  </si>
  <si>
    <t>E00228</t>
  </si>
  <si>
    <t>diego.king@northfield-hr.com</t>
  </si>
  <si>
    <t>E00297</t>
  </si>
  <si>
    <t>Joseph</t>
  </si>
  <si>
    <t>Wright</t>
  </si>
  <si>
    <t>joseph.wright@northfield-hr.com</t>
  </si>
  <si>
    <t>E01002</t>
  </si>
  <si>
    <t>mateo.young@northfield-hr.com</t>
  </si>
  <si>
    <t>E02139</t>
  </si>
  <si>
    <t>ava.harris@northfield-hr.com</t>
  </si>
  <si>
    <t>E00712</t>
  </si>
  <si>
    <t>Emma</t>
  </si>
  <si>
    <t>emma.williams@northfield-hr.com</t>
  </si>
  <si>
    <t>E02802</t>
  </si>
  <si>
    <t>Charles</t>
  </si>
  <si>
    <t>charles.robinson@northfield-hr.com</t>
  </si>
  <si>
    <t>E02528</t>
  </si>
  <si>
    <t>linda.lopez@northfield-hr.com</t>
  </si>
  <si>
    <t>E03753</t>
  </si>
  <si>
    <t>david.lewis@northfield-hr.com</t>
  </si>
  <si>
    <t>E03322</t>
  </si>
  <si>
    <t>liam.williams@northfield-hr.com</t>
  </si>
  <si>
    <t>E03182</t>
  </si>
  <si>
    <t>wei.king@northfield-hr.com</t>
  </si>
  <si>
    <t>E04184</t>
  </si>
  <si>
    <t>michael.wright@northfield-hr.com</t>
  </si>
  <si>
    <t>E01616</t>
  </si>
  <si>
    <t>E03025</t>
  </si>
  <si>
    <t>E01414</t>
  </si>
  <si>
    <t>william.lopez@northfield-hr.com</t>
  </si>
  <si>
    <t>E00764</t>
  </si>
  <si>
    <t>mateo.williams@northfield-hr.com</t>
  </si>
  <si>
    <t>E00656</t>
  </si>
  <si>
    <t>noah.hernandez@northfield-hr.com</t>
  </si>
  <si>
    <t>E02658</t>
  </si>
  <si>
    <t>william.jones@northfield-hr.com</t>
  </si>
  <si>
    <t>E03850</t>
  </si>
  <si>
    <t>patricia.anderson@northfield-hr.com</t>
  </si>
  <si>
    <t>E04154</t>
  </si>
  <si>
    <t>thomas.davis@northfield-hr.com</t>
  </si>
  <si>
    <t>E00469</t>
  </si>
  <si>
    <t>joseph.torres@northfield-hr.com</t>
  </si>
  <si>
    <t>E00158</t>
  </si>
  <si>
    <t>linda.rodriguez@northfield-hr.com</t>
  </si>
  <si>
    <t>E01296</t>
  </si>
  <si>
    <t>Taylor</t>
  </si>
  <si>
    <t>richard.taylor@northfield-hr.com</t>
  </si>
  <si>
    <t>E00498</t>
  </si>
  <si>
    <t>jessica.walker@northfield-hr.com</t>
  </si>
  <si>
    <t>E02067</t>
  </si>
  <si>
    <t>Elizabeth</t>
  </si>
  <si>
    <t>Sanchez</t>
  </si>
  <si>
    <t>elizabeth.sanchez@northfield-hr.com</t>
  </si>
  <si>
    <t>E02941</t>
  </si>
  <si>
    <t>elizabeth.nguyen@northfield-hr.com</t>
  </si>
  <si>
    <t>E03457</t>
  </si>
  <si>
    <t>michael.torres@northfield-hr.com</t>
  </si>
  <si>
    <t>E00374</t>
  </si>
  <si>
    <t>elizabeth.ramirez@northfield-hr.com</t>
  </si>
  <si>
    <t>E00080</t>
  </si>
  <si>
    <t>sarah.ramirez@northfield-hr.com</t>
  </si>
  <si>
    <t>E01554</t>
  </si>
  <si>
    <t>thomas.jones@northfield-hr.com</t>
  </si>
  <si>
    <t>E01670</t>
  </si>
  <si>
    <t>Olga</t>
  </si>
  <si>
    <t>olga.lewis@northfield-hr.com</t>
  </si>
  <si>
    <t>E02132</t>
  </si>
  <si>
    <t>olga.miller@northfield-hr.com</t>
  </si>
  <si>
    <t>E04440</t>
  </si>
  <si>
    <t>Williams</t>
  </si>
  <si>
    <t>ingrid.williams@northfield-hr.com</t>
  </si>
  <si>
    <t>E00466</t>
  </si>
  <si>
    <t>Aiko</t>
  </si>
  <si>
    <t>Moore</t>
  </si>
  <si>
    <t>E00249</t>
  </si>
  <si>
    <t>barbara.young@northfield-hr.com</t>
  </si>
  <si>
    <t>E00932</t>
  </si>
  <si>
    <t>Finance</t>
  </si>
  <si>
    <t>sarah.adams@northfield-hr.com</t>
  </si>
  <si>
    <t>E01336</t>
  </si>
  <si>
    <t>michael.nguyen@northfield-hr.com</t>
  </si>
  <si>
    <t>E04525</t>
  </si>
  <si>
    <t>aiko.adams@northfield-hr.com</t>
  </si>
  <si>
    <t>E01339</t>
  </si>
  <si>
    <t>mateo.nguyen@northfield-hr.com</t>
  </si>
  <si>
    <t>E01407</t>
  </si>
  <si>
    <t>priya.garcia@northfield-hr.com</t>
  </si>
  <si>
    <t>E01091</t>
  </si>
  <si>
    <t>ava.robinson@northfield-hr.com</t>
  </si>
  <si>
    <t>E04210</t>
  </si>
  <si>
    <t>Young</t>
  </si>
  <si>
    <t>sofia.young@northfield-hr.com</t>
  </si>
  <si>
    <t>E00743</t>
  </si>
  <si>
    <t>diego.johnson@northfield-hr.com</t>
  </si>
  <si>
    <t>E02324</t>
  </si>
  <si>
    <t>Legal</t>
  </si>
  <si>
    <t>wei.smith@northfield-hr.com</t>
  </si>
  <si>
    <t>E03602</t>
  </si>
  <si>
    <t>Priya</t>
  </si>
  <si>
    <t>priya.ramirez@northfield-hr.com</t>
  </si>
  <si>
    <t>E02124</t>
  </si>
  <si>
    <t>amara.sanchez@northfield-hr.com</t>
  </si>
  <si>
    <t>E02095</t>
  </si>
  <si>
    <t>Ingrid</t>
  </si>
  <si>
    <t>ingrid.brown@northfield-hr.com</t>
  </si>
  <si>
    <t>E00241</t>
  </si>
  <si>
    <t>jennifer.ramirez@northfield-hr.com</t>
  </si>
  <si>
    <t>E02352</t>
  </si>
  <si>
    <t>jessica.wright@northfield-hr.com</t>
  </si>
  <si>
    <t>E01371</t>
  </si>
  <si>
    <t>yuki.young@northfield-hr.com</t>
  </si>
  <si>
    <t>E01058</t>
  </si>
  <si>
    <t>diego.taylor@northfield-hr.com</t>
  </si>
  <si>
    <t>E01223</t>
  </si>
  <si>
    <t>sarah.gonzalez@northfield-hr.com</t>
  </si>
  <si>
    <t>E00200</t>
  </si>
  <si>
    <t>Sofia</t>
  </si>
  <si>
    <t>sofia.robinson@northfield-hr.com</t>
  </si>
  <si>
    <t>E02281</t>
  </si>
  <si>
    <t>mary.adams@northfield-hr.com</t>
  </si>
  <si>
    <t>E02909</t>
  </si>
  <si>
    <t>ava.adams@northfield-hr.com</t>
  </si>
  <si>
    <t>E02221</t>
  </si>
  <si>
    <t>fatima.robinson@northfield-hr.com</t>
  </si>
  <si>
    <t>E03836</t>
  </si>
  <si>
    <t>jessica.ramirez@northfield-hr.com</t>
  </si>
  <si>
    <t>E02820</t>
  </si>
  <si>
    <t>lucas.robinson@northfield-hr.com</t>
  </si>
  <si>
    <t>E03151</t>
  </si>
  <si>
    <t>liam.ramirez@northfield-hr.com</t>
  </si>
  <si>
    <t>E04257</t>
  </si>
  <si>
    <t>david.robinson@northfield-hr.com</t>
  </si>
  <si>
    <t>E03108</t>
  </si>
  <si>
    <t>Clark</t>
  </si>
  <si>
    <t>E01974</t>
  </si>
  <si>
    <t>jennifer.perez@northfield-hr.com</t>
  </si>
  <si>
    <t>E01376</t>
  </si>
  <si>
    <t>Noah</t>
  </si>
  <si>
    <t>Hernandez</t>
  </si>
  <si>
    <t>E03969</t>
  </si>
  <si>
    <t>ava.hill@northfield-hr.com</t>
  </si>
  <si>
    <t>E04063</t>
  </si>
  <si>
    <t>patricia.torres@northfield-hr.com</t>
  </si>
  <si>
    <t>E04446</t>
  </si>
  <si>
    <t>john.ramirez@northfield-hr.com</t>
  </si>
  <si>
    <t>E03558</t>
  </si>
  <si>
    <t>noah.adams@northfield-hr.com</t>
  </si>
  <si>
    <t>E00965</t>
  </si>
  <si>
    <t>karen.young@northfield-hr.com</t>
  </si>
  <si>
    <t>E00180</t>
  </si>
  <si>
    <t>patricia.jackson@northfield-hr.com</t>
  </si>
  <si>
    <t>E03699</t>
  </si>
  <si>
    <t>sarah.lopez@northfield-hr.com</t>
  </si>
  <si>
    <t>E03822</t>
  </si>
  <si>
    <t>jennifer.brown@northfield-hr.com</t>
  </si>
  <si>
    <t>E03532</t>
  </si>
  <si>
    <t>Linda</t>
  </si>
  <si>
    <t>Lewis</t>
  </si>
  <si>
    <t>linda.lewis@northfield-hr.com</t>
  </si>
  <si>
    <t>E03900</t>
  </si>
  <si>
    <t>Amara</t>
  </si>
  <si>
    <t>amara.walker@northfield-hr.com</t>
  </si>
  <si>
    <t>E04488</t>
  </si>
  <si>
    <t>amara.adams@northfield-hr.com</t>
  </si>
  <si>
    <t>E03239</t>
  </si>
  <si>
    <t>sarah.harris@northfield-hr.com</t>
  </si>
  <si>
    <t>E02975</t>
  </si>
  <si>
    <t>E03581</t>
  </si>
  <si>
    <t>joseph.moore@northfield-hr.com</t>
  </si>
  <si>
    <t>E02888</t>
  </si>
  <si>
    <t>ava.nguyen@northfield-hr.com</t>
  </si>
  <si>
    <t>E02576</t>
  </si>
  <si>
    <t>jennifer.thompson@northfield-hr.com</t>
  </si>
  <si>
    <t>E01420</t>
  </si>
  <si>
    <t>patricia.wright@northfield-hr.com</t>
  </si>
  <si>
    <t>E03908</t>
  </si>
  <si>
    <t>Brown</t>
  </si>
  <si>
    <t>richard.brown@northfield-hr.com</t>
  </si>
  <si>
    <t>E04674</t>
  </si>
  <si>
    <t>ingrid.young@northfield-hr.com</t>
  </si>
  <si>
    <t>E04607</t>
  </si>
  <si>
    <t>david.ramirez@northfield-hr.com</t>
  </si>
  <si>
    <t>E01861</t>
  </si>
  <si>
    <t>Karen</t>
  </si>
  <si>
    <t>White</t>
  </si>
  <si>
    <t>karen.white@northfield-hr.com</t>
  </si>
  <si>
    <t>E00009</t>
  </si>
  <si>
    <t>fatima.wilson@northfield-hr.com</t>
  </si>
  <si>
    <t>E02895</t>
  </si>
  <si>
    <t>jennifer.jones@northfield-hr.com</t>
  </si>
  <si>
    <t>E02848</t>
  </si>
  <si>
    <t>sofia.moore@northfield-hr.com</t>
  </si>
  <si>
    <t>E03665</t>
  </si>
  <si>
    <t>sofia.martin@northfield-hr.com</t>
  </si>
  <si>
    <t>E00145</t>
  </si>
  <si>
    <t>ingrid.hernandez@northfield-hr.com</t>
  </si>
  <si>
    <t>E02105</t>
  </si>
  <si>
    <t>susan.lopez@northfield-hr.com</t>
  </si>
  <si>
    <t>E03144</t>
  </si>
  <si>
    <t>michael.scott@northfield-hr.com</t>
  </si>
  <si>
    <t>E00842</t>
  </si>
  <si>
    <t>liam.torres@northfield-hr.com</t>
  </si>
  <si>
    <t>E01129</t>
  </si>
  <si>
    <t>lucas.thompson@northfield-hr.com</t>
  </si>
  <si>
    <t>E00152</t>
  </si>
  <si>
    <t>ingrid.white@northfield-hr.com</t>
  </si>
  <si>
    <t>E03592</t>
  </si>
  <si>
    <t>barbara.wright@northfield-hr.com</t>
  </si>
  <si>
    <t>E01053</t>
  </si>
  <si>
    <t>Davis</t>
  </si>
  <si>
    <t>sofia.davis@northfield-hr.com</t>
  </si>
  <si>
    <t>E01591</t>
  </si>
  <si>
    <t>liam.martinez@northfield-hr.com</t>
  </si>
  <si>
    <t>E03009</t>
  </si>
  <si>
    <t>charles.lee@northfield-hr.com</t>
  </si>
  <si>
    <t>E02030</t>
  </si>
  <si>
    <t>priya.thompson@northfield-hr.com</t>
  </si>
  <si>
    <t>E03419</t>
  </si>
  <si>
    <t>michael.perez@northfield-hr.com</t>
  </si>
  <si>
    <t>E01808</t>
  </si>
  <si>
    <t>mateo.white@northfield-hr.com</t>
  </si>
  <si>
    <t>E02697</t>
  </si>
  <si>
    <t>mateo.torres@northfield-hr.com</t>
  </si>
  <si>
    <t>E03040</t>
  </si>
  <si>
    <t>E00473</t>
  </si>
  <si>
    <t>ava.smith@northfield-hr.com</t>
  </si>
  <si>
    <t>E03290</t>
  </si>
  <si>
    <t>carlos.ramirez@northfield-hr.com</t>
  </si>
  <si>
    <t>E04075</t>
  </si>
  <si>
    <t>olga.ramirez@northfield-hr.com</t>
  </si>
  <si>
    <t>E03497</t>
  </si>
  <si>
    <t>ingrid.thomas@northfield-hr.com</t>
  </si>
  <si>
    <t>E00280</t>
  </si>
  <si>
    <t>Lucas</t>
  </si>
  <si>
    <t>Allen</t>
  </si>
  <si>
    <t>lucas.allen@northfield-hr.com</t>
  </si>
  <si>
    <t>E01742</t>
  </si>
  <si>
    <t>barbara.smith@northfield-hr.com</t>
  </si>
  <si>
    <t>E04625</t>
  </si>
  <si>
    <t>olga.moore@northfield-hr.com</t>
  </si>
  <si>
    <t>E02887</t>
  </si>
  <si>
    <t>mateo.thompson@northfield-hr.com</t>
  </si>
  <si>
    <t>E01942</t>
  </si>
  <si>
    <t>mary.wilson@northfield-hr.com</t>
  </si>
  <si>
    <t>E00101</t>
  </si>
  <si>
    <t>emma.moore@northfield-hr.com</t>
  </si>
  <si>
    <t>E02805</t>
  </si>
  <si>
    <t>emma.harris@northfield-hr.com</t>
  </si>
  <si>
    <t>E03571</t>
  </si>
  <si>
    <t>john.lewis@northfield-hr.com</t>
  </si>
  <si>
    <t>E03685</t>
  </si>
  <si>
    <t>Hiroshi</t>
  </si>
  <si>
    <t>hiroshi.moore@northfield-hr.com</t>
  </si>
  <si>
    <t>E03662</t>
  </si>
  <si>
    <t>emma.martin@northfield-hr.com</t>
  </si>
  <si>
    <t>E00531</t>
  </si>
  <si>
    <t>karen.clark@northfield-hr.com</t>
  </si>
  <si>
    <t>E01887</t>
  </si>
  <si>
    <t>Susan</t>
  </si>
  <si>
    <t>susan.gonzalez@northfield-hr.com</t>
  </si>
  <si>
    <t>E00682</t>
  </si>
  <si>
    <t>carlos.white@northfield-hr.com</t>
  </si>
  <si>
    <t>E03795</t>
  </si>
  <si>
    <t>linda.davis@northfield-hr.com</t>
  </si>
  <si>
    <t>E03945</t>
  </si>
  <si>
    <t>jennifer.wright@northfield-hr.com</t>
  </si>
  <si>
    <t>E04667</t>
  </si>
  <si>
    <t>Johnson</t>
  </si>
  <si>
    <t>noah.johnson@northfield-hr.com</t>
  </si>
  <si>
    <t>E02019</t>
  </si>
  <si>
    <t>mohammed.rodriguez@northfield-hr.com</t>
  </si>
  <si>
    <t>E01097</t>
  </si>
  <si>
    <t>noah.nguyen@northfield-hr.com</t>
  </si>
  <si>
    <t>E00830</t>
  </si>
  <si>
    <t>hiroshi.allen@northfield-hr.com</t>
  </si>
  <si>
    <t>E02806</t>
  </si>
  <si>
    <t>mohammed.nguyen@northfield-hr.com</t>
  </si>
  <si>
    <t>E03830</t>
  </si>
  <si>
    <t>joseph.jones@northfield-hr.com</t>
  </si>
  <si>
    <t>E04382</t>
  </si>
  <si>
    <t>sarah.lewis@northfield-hr.com</t>
  </si>
  <si>
    <t>E03892</t>
  </si>
  <si>
    <t>michael.lopez@northfield-hr.com</t>
  </si>
  <si>
    <t>E00765</t>
  </si>
  <si>
    <t>emma.smith@northfield-hr.com</t>
  </si>
  <si>
    <t>E02768</t>
  </si>
  <si>
    <t>diego.hernandez@northfield-hr.com</t>
  </si>
  <si>
    <t>E04329</t>
  </si>
  <si>
    <t>mary.wright@northfield-hr.com</t>
  </si>
  <si>
    <t>E03296</t>
  </si>
  <si>
    <t>liam.rodriguez@northfield-hr.com</t>
  </si>
  <si>
    <t>E02195</t>
  </si>
  <si>
    <t>mohammed.wilson@northfield-hr.com</t>
  </si>
  <si>
    <t>E02358</t>
  </si>
  <si>
    <t>richard.walker@northfield-hr.com</t>
  </si>
  <si>
    <t>E03426</t>
  </si>
  <si>
    <t>David</t>
  </si>
  <si>
    <t>david.clark@northfield-hr.com</t>
  </si>
  <si>
    <t>E03980</t>
  </si>
  <si>
    <t>E00912</t>
  </si>
  <si>
    <t>susan.moore@northfield-hr.com</t>
  </si>
  <si>
    <t>E03146</t>
  </si>
  <si>
    <t>mary.jackson@northfield-hr.com</t>
  </si>
  <si>
    <t>E01000</t>
  </si>
  <si>
    <t>patricia.jones@northfield-hr.com</t>
  </si>
  <si>
    <t>E03654</t>
  </si>
  <si>
    <t>linda.sanchez@northfield-hr.com</t>
  </si>
  <si>
    <t>E02484</t>
  </si>
  <si>
    <t>wei.walker@northfield-hr.com</t>
  </si>
  <si>
    <t>E04077</t>
  </si>
  <si>
    <t>diego.moore@northfield-hr.com</t>
  </si>
  <si>
    <t>E02371</t>
  </si>
  <si>
    <t>James</t>
  </si>
  <si>
    <t>james.taylor@northfield-hr.com</t>
  </si>
  <si>
    <t>E01525</t>
  </si>
  <si>
    <t>emma.jackson@northfield-hr.com</t>
  </si>
  <si>
    <t>E00034</t>
  </si>
  <si>
    <t>jennifer.thomas@northfield-hr.com</t>
  </si>
  <si>
    <t>E03790</t>
  </si>
  <si>
    <t>E01021</t>
  </si>
  <si>
    <t>olga.sanchez@northfield-hr.com</t>
  </si>
  <si>
    <t>E01648</t>
  </si>
  <si>
    <t>joseph.davis@northfield-hr.com</t>
  </si>
  <si>
    <t>E00734</t>
  </si>
  <si>
    <t>patricia.white@northfield-hr.com</t>
  </si>
  <si>
    <t>E04583</t>
  </si>
  <si>
    <t>mateo.robinson@northfield-hr.com</t>
  </si>
  <si>
    <t>E03275</t>
  </si>
  <si>
    <t>priya.wright@northfield-hr.com</t>
  </si>
  <si>
    <t>E01621</t>
  </si>
  <si>
    <t>patricia.harris@northfield-hr.com</t>
  </si>
  <si>
    <t>E03136</t>
  </si>
  <si>
    <t>susan.lee@northfield-hr.com</t>
  </si>
  <si>
    <t>E02690</t>
  </si>
  <si>
    <t>yuki.walker@northfield-hr.com</t>
  </si>
  <si>
    <t>E02708</t>
  </si>
  <si>
    <t>patricia.robinson@northfield-hr.com</t>
  </si>
  <si>
    <t>E00298</t>
  </si>
  <si>
    <t>barbara.williams@northfield-hr.com</t>
  </si>
  <si>
    <t>E02340</t>
  </si>
  <si>
    <t>david.williams@northfield-hr.com</t>
  </si>
  <si>
    <t>E00654</t>
  </si>
  <si>
    <t>hiroshi.walker@northfield-hr.com</t>
  </si>
  <si>
    <t>E03775</t>
  </si>
  <si>
    <t>King</t>
  </si>
  <si>
    <t>richard.king@northfield-hr.com</t>
  </si>
  <si>
    <t>E01256</t>
  </si>
  <si>
    <t>aiko.gonzalez@northfield-hr.com</t>
  </si>
  <si>
    <t>E04521</t>
  </si>
  <si>
    <t>E00231</t>
  </si>
  <si>
    <t>charles.ramirez@northfield-hr.com</t>
  </si>
  <si>
    <t>E03277</t>
  </si>
  <si>
    <t>richard.wilson@northfield-hr.com</t>
  </si>
  <si>
    <t>E03231</t>
  </si>
  <si>
    <t>charles.hernandez@northfield-hr.com</t>
  </si>
  <si>
    <t>E00692</t>
  </si>
  <si>
    <t>wei.anderson@northfield-hr.com</t>
  </si>
  <si>
    <t>E02755</t>
  </si>
  <si>
    <t>aiko.lee@northfield-hr.com</t>
  </si>
  <si>
    <t>E04004</t>
  </si>
  <si>
    <t>E00970</t>
  </si>
  <si>
    <t>patricia.martinez@northfield-hr.com</t>
  </si>
  <si>
    <t>E00634</t>
  </si>
  <si>
    <t>fatima.young@northfield-hr.com</t>
  </si>
  <si>
    <t>E04093</t>
  </si>
  <si>
    <t>liam.sanchez@northfield-hr.com</t>
  </si>
  <si>
    <t>E04078</t>
  </si>
  <si>
    <t>michael.johnson@northfield-hr.com</t>
  </si>
  <si>
    <t>E01322</t>
  </si>
  <si>
    <t>wei.martinez@northfield-hr.com</t>
  </si>
  <si>
    <t>E01832</t>
  </si>
  <si>
    <t>Torres</t>
  </si>
  <si>
    <t>thomas.torres@northfield-hr.com</t>
  </si>
  <si>
    <t>E02179</t>
  </si>
  <si>
    <t>diego.jones@northfield-hr.com</t>
  </si>
  <si>
    <t>E01418</t>
  </si>
  <si>
    <t>james.miller@northfield-hr.com</t>
  </si>
  <si>
    <t>E01783</t>
  </si>
  <si>
    <t>aiko.walker@northfield-hr.com</t>
  </si>
  <si>
    <t>E03508</t>
  </si>
  <si>
    <t>E00130</t>
  </si>
  <si>
    <t>lucas.rodriguez@northfield-hr.com</t>
  </si>
  <si>
    <t>E04119</t>
  </si>
  <si>
    <t>liam.thomas@northfield-hr.com</t>
  </si>
  <si>
    <t>E01653</t>
  </si>
  <si>
    <t>carlos.perez@northfield-hr.com</t>
  </si>
  <si>
    <t>E01484</t>
  </si>
  <si>
    <t>liam.king@northfield-hr.com</t>
  </si>
  <si>
    <t>E02276</t>
  </si>
  <si>
    <t>susan.hernandez@northfield-hr.com</t>
  </si>
  <si>
    <t>E00878</t>
  </si>
  <si>
    <t>E03526</t>
  </si>
  <si>
    <t>carlos.scott@northfield-hr.com</t>
  </si>
  <si>
    <t>E02017</t>
  </si>
  <si>
    <t>E00427</t>
  </si>
  <si>
    <t>ingrid.lopez@northfield-hr.com</t>
  </si>
  <si>
    <t>E00627</t>
  </si>
  <si>
    <t>mohammed.white@northfield-hr.com</t>
  </si>
  <si>
    <t>E01590</t>
  </si>
  <si>
    <t>sofia.white@northfield-hr.com</t>
  </si>
  <si>
    <t>E02224</t>
  </si>
  <si>
    <t>E02218</t>
  </si>
  <si>
    <t>david.martin@northfield-hr.com</t>
  </si>
  <si>
    <t>E04484</t>
  </si>
  <si>
    <t>sofia.wright@northfield-hr.com</t>
  </si>
  <si>
    <t>E01486</t>
  </si>
  <si>
    <t>Yuki</t>
  </si>
  <si>
    <t>yuki.miller@northfield-hr.com</t>
  </si>
  <si>
    <t>E01740</t>
  </si>
  <si>
    <t>liam.thompson@northfield-hr.com</t>
  </si>
  <si>
    <t>E02481</t>
  </si>
  <si>
    <t>yuki.jackson@northfield-hr.com</t>
  </si>
  <si>
    <t>E02585</t>
  </si>
  <si>
    <t>charles.miller@northfield-hr.com</t>
  </si>
  <si>
    <t>E02894</t>
  </si>
  <si>
    <t>Carlos</t>
  </si>
  <si>
    <t>E00150</t>
  </si>
  <si>
    <t>david.miller@northfield-hr.com</t>
  </si>
  <si>
    <t>E00677</t>
  </si>
  <si>
    <t>lucas.moore@northfield-hr.com</t>
  </si>
  <si>
    <t>E01262</t>
  </si>
  <si>
    <t>john.wilson@northfield-hr.com</t>
  </si>
  <si>
    <t>E03466</t>
  </si>
  <si>
    <t>elizabeth.hill@northfield-hr.com</t>
  </si>
  <si>
    <t>E00013</t>
  </si>
  <si>
    <t>priya.wilson@northfield-hr.com</t>
  </si>
  <si>
    <t>E01834</t>
  </si>
  <si>
    <t>william.torres@northfield-hr.com</t>
  </si>
  <si>
    <t>E03249</t>
  </si>
  <si>
    <t>olga.johnson@northfield-hr.com</t>
  </si>
  <si>
    <t>E01492</t>
  </si>
  <si>
    <t>james.clark@northfield-hr.com</t>
  </si>
  <si>
    <t>E02728</t>
  </si>
  <si>
    <t>priya.anderson@northfield-hr.com</t>
  </si>
  <si>
    <t>E03687</t>
  </si>
  <si>
    <t>E01425</t>
  </si>
  <si>
    <t>E04606</t>
  </si>
  <si>
    <t>mateo.ramirez@northfield-hr.com</t>
  </si>
  <si>
    <t>E04596</t>
  </si>
  <si>
    <t>E00732</t>
  </si>
  <si>
    <t>aiko.young@northfield-hr.com</t>
  </si>
  <si>
    <t>E01232</t>
  </si>
  <si>
    <t>E01635</t>
  </si>
  <si>
    <t>aiko.lewis@northfield-hr.com</t>
  </si>
  <si>
    <t>E03937</t>
  </si>
  <si>
    <t>olga.taylor@northfield-hr.com</t>
  </si>
  <si>
    <t>E01211</t>
  </si>
  <si>
    <t>priya.thomas@northfield-hr.com</t>
  </si>
  <si>
    <t>E03269</t>
  </si>
  <si>
    <t>amara.hernandez@northfield-hr.com</t>
  </si>
  <si>
    <t>E01935</t>
  </si>
  <si>
    <t>sarah.moore@northfield-hr.com</t>
  </si>
  <si>
    <t>E00554</t>
  </si>
  <si>
    <t>charles.white@northfield-hr.com</t>
  </si>
  <si>
    <t>E00492</t>
  </si>
  <si>
    <t>E02963</t>
  </si>
  <si>
    <t>robert.lee@northfield-hr.com</t>
  </si>
  <si>
    <t>E02330</t>
  </si>
  <si>
    <t>john.miller@northfield-hr.com</t>
  </si>
  <si>
    <t>E02196</t>
  </si>
  <si>
    <t>joseph.harris@northfield-hr.com</t>
  </si>
  <si>
    <t>E03065</t>
  </si>
  <si>
    <t>E00658</t>
  </si>
  <si>
    <t>E02375</t>
  </si>
  <si>
    <t>william.johnson@northfield-hr.com</t>
  </si>
  <si>
    <t>E02226</t>
  </si>
  <si>
    <t>carlos.brown@northfield-hr.com</t>
  </si>
  <si>
    <t>E04265</t>
  </si>
  <si>
    <t>diego.walker@northfield-hr.com</t>
  </si>
  <si>
    <t>E01171</t>
  </si>
  <si>
    <t>carlos.gonzalez@northfield-hr.com</t>
  </si>
  <si>
    <t>E00133</t>
  </si>
  <si>
    <t>aiko.robinson@northfield-hr.com</t>
  </si>
  <si>
    <t>E00472</t>
  </si>
  <si>
    <t>E03226</t>
  </si>
  <si>
    <t>sofia.perez@northfield-hr.com</t>
  </si>
  <si>
    <t>E01406</t>
  </si>
  <si>
    <t>susan.wright@northfield-hr.com</t>
  </si>
  <si>
    <t>E02877</t>
  </si>
  <si>
    <t>mateo.adams@northfield-hr.com</t>
  </si>
  <si>
    <t>E04505</t>
  </si>
  <si>
    <t>E04693</t>
  </si>
  <si>
    <t>sarah.lee@northfield-hr.com</t>
  </si>
  <si>
    <t>E02827</t>
  </si>
  <si>
    <t>john.martin@northfield-hr.com</t>
  </si>
  <si>
    <t>E00288</t>
  </si>
  <si>
    <t>richard.thomas@northfield-hr.com</t>
  </si>
  <si>
    <t>E01870</t>
  </si>
  <si>
    <t>olga.martinez@northfield-hr.com</t>
  </si>
  <si>
    <t>E03115</t>
  </si>
  <si>
    <t>lucas.king@northfield-hr.com</t>
  </si>
  <si>
    <t>E03626</t>
  </si>
  <si>
    <t>amara.clark@northfield-hr.com</t>
  </si>
  <si>
    <t>E02313</t>
  </si>
  <si>
    <t>elizabeth.wilson@northfield-hr.com</t>
  </si>
  <si>
    <t>E04335</t>
  </si>
  <si>
    <t>Mohammed</t>
  </si>
  <si>
    <t>E01619</t>
  </si>
  <si>
    <t>fatima.ramirez@northfield-hr.com</t>
  </si>
  <si>
    <t>E00995</t>
  </si>
  <si>
    <t>amara.miller@northfield-hr.com</t>
  </si>
  <si>
    <t>E01804</t>
  </si>
  <si>
    <t>charles.hill@northfield-hr.com</t>
  </si>
  <si>
    <t>E02643</t>
  </si>
  <si>
    <t>mary.miller@northfield-hr.com</t>
  </si>
  <si>
    <t>E03001</t>
  </si>
  <si>
    <t>ava.johnson@northfield-hr.com</t>
  </si>
  <si>
    <t>E03536</t>
  </si>
  <si>
    <t>priya.lee@northfield-hr.com</t>
  </si>
  <si>
    <t>E02709</t>
  </si>
  <si>
    <t>lucas.hernandez@northfield-hr.com</t>
  </si>
  <si>
    <t>E03912</t>
  </si>
  <si>
    <t>E02108</t>
  </si>
  <si>
    <t>james.wilson@northfield-hr.com</t>
  </si>
  <si>
    <t>E03045</t>
  </si>
  <si>
    <t>mohammed.king@northfield-hr.com</t>
  </si>
  <si>
    <t>E00417</t>
  </si>
  <si>
    <t>ava.jones@northfield-hr.com</t>
  </si>
  <si>
    <t>E00978</t>
  </si>
  <si>
    <t>john.davis@northfield-hr.com</t>
  </si>
  <si>
    <t>E02418</t>
  </si>
  <si>
    <t>chidi.thomas@northfield-hr.com</t>
  </si>
  <si>
    <t>E00506</t>
  </si>
  <si>
    <t>ava.williams@northfield-hr.com</t>
  </si>
  <si>
    <t>E04153</t>
  </si>
  <si>
    <t>lucas.miller@northfield-hr.com</t>
  </si>
  <si>
    <t>E04256</t>
  </si>
  <si>
    <t>yuki.rodriguez@northfield-hr.com</t>
  </si>
  <si>
    <t>E03942</t>
  </si>
  <si>
    <t>E00415</t>
  </si>
  <si>
    <t>jennifer.miller@northfield-hr.com</t>
  </si>
  <si>
    <t>E04149</t>
  </si>
  <si>
    <t>thomas.miller@northfield-hr.com</t>
  </si>
  <si>
    <t>E01184</t>
  </si>
  <si>
    <t>jessica.miller@northfield-hr.com</t>
  </si>
  <si>
    <t>E00486</t>
  </si>
  <si>
    <t>priya.taylor@northfield-hr.com</t>
  </si>
  <si>
    <t>E00894</t>
  </si>
  <si>
    <t>E00806</t>
  </si>
  <si>
    <t>sarah.perez@northfield-hr.com</t>
  </si>
  <si>
    <t>E00556</t>
  </si>
  <si>
    <t>yuki.moore@northfield-hr.com</t>
  </si>
  <si>
    <t>E03826</t>
  </si>
  <si>
    <t>yuki.anderson@northfield-hr.com</t>
  </si>
  <si>
    <t>E01198</t>
  </si>
  <si>
    <t>wei.gonzalez@northfield-hr.com</t>
  </si>
  <si>
    <t>E04254</t>
  </si>
  <si>
    <t>mary.martinez@northfield-hr.com</t>
  </si>
  <si>
    <t>E04059</t>
  </si>
  <si>
    <t>susan.garcia@northfield-hr.com</t>
  </si>
  <si>
    <t>E01294</t>
  </si>
  <si>
    <t>carlos.lopez@northfield-hr.com</t>
  </si>
  <si>
    <t>E02222</t>
  </si>
  <si>
    <t>fatima.allen@northfield-hr.com</t>
  </si>
  <si>
    <t>E03505</t>
  </si>
  <si>
    <t>E03655</t>
  </si>
  <si>
    <t>jessica.jackson@northfield-hr.com</t>
  </si>
  <si>
    <t>E02060</t>
  </si>
  <si>
    <t>patricia.adams@northfield-hr.com</t>
  </si>
  <si>
    <t>E03007</t>
  </si>
  <si>
    <t>barbara.lopez@northfield-hr.com</t>
  </si>
  <si>
    <t>E02094</t>
  </si>
  <si>
    <t>carlos.thompson@northfield-hr.com</t>
  </si>
  <si>
    <t>E02188</t>
  </si>
  <si>
    <t>E03037</t>
  </si>
  <si>
    <t>charles.harris@northfield-hr.com</t>
  </si>
  <si>
    <t>E03919</t>
  </si>
  <si>
    <t>james.thomas@northfield-hr.com</t>
  </si>
  <si>
    <t>E01273</t>
  </si>
  <si>
    <t>sofia.jones@northfield-hr.com</t>
  </si>
  <si>
    <t>E00291</t>
  </si>
  <si>
    <t>charles.garcia@northfield-hr.com</t>
  </si>
  <si>
    <t>E00907</t>
  </si>
  <si>
    <t>amara.jackson@northfield-hr.com</t>
  </si>
  <si>
    <t>E00253</t>
  </si>
  <si>
    <t>lucas.anderson@northfield-hr.com</t>
  </si>
  <si>
    <t>E03246</t>
  </si>
  <si>
    <t>emma.hernandez@northfield-hr.com</t>
  </si>
  <si>
    <t>E00351</t>
  </si>
  <si>
    <t>chidi.walker@northfield-hr.com</t>
  </si>
  <si>
    <t>E01188</t>
  </si>
  <si>
    <t>Scott</t>
  </si>
  <si>
    <t>patricia.scott@northfield-hr.com</t>
  </si>
  <si>
    <t>E01962</t>
  </si>
  <si>
    <t>E00423</t>
  </si>
  <si>
    <t>diego.jackson@northfield-hr.com</t>
  </si>
  <si>
    <t>E00091</t>
  </si>
  <si>
    <t>carlos.jones@northfield-hr.com</t>
  </si>
  <si>
    <t>E03730</t>
  </si>
  <si>
    <t>fatima.gonzalez@northfield-hr.com</t>
  </si>
  <si>
    <t>E02237</t>
  </si>
  <si>
    <t>E00671</t>
  </si>
  <si>
    <t>E03041</t>
  </si>
  <si>
    <t>emma.wright@northfield-hr.com</t>
  </si>
  <si>
    <t>E00027</t>
  </si>
  <si>
    <t>amara.scott@northfield-hr.com</t>
  </si>
  <si>
    <t>E00430</t>
  </si>
  <si>
    <t>karen.garcia@northfield-hr.com</t>
  </si>
  <si>
    <t>E00684</t>
  </si>
  <si>
    <t>richard.martinez@northfield-hr.com</t>
  </si>
  <si>
    <t>E04464</t>
  </si>
  <si>
    <t>hiroshi.brown@northfield-hr.com</t>
  </si>
  <si>
    <t>E03946</t>
  </si>
  <si>
    <t>ava.perez@northfield-hr.com</t>
  </si>
  <si>
    <t>E03524</t>
  </si>
  <si>
    <t>mateo.sanchez@northfield-hr.com</t>
  </si>
  <si>
    <t>E01542</t>
  </si>
  <si>
    <t>chidi.miller@northfield-hr.com</t>
  </si>
  <si>
    <t>E02032</t>
  </si>
  <si>
    <t>charles.martin@northfield-hr.com</t>
  </si>
  <si>
    <t>E02233</t>
  </si>
  <si>
    <t>emma.perez@northfield-hr.com</t>
  </si>
  <si>
    <t>E04121</t>
  </si>
  <si>
    <t>jennifer.lee@northfield-hr.com</t>
  </si>
  <si>
    <t>E03236</t>
  </si>
  <si>
    <t>E00255</t>
  </si>
  <si>
    <t>E01030</t>
  </si>
  <si>
    <t>karen.jones@northfield-hr.com</t>
  </si>
  <si>
    <t>E04393</t>
  </si>
  <si>
    <t>amara.nguyen@northfield-hr.com</t>
  </si>
  <si>
    <t>E03801</t>
  </si>
  <si>
    <t>mohammed.sanchez@northfield-hr.com</t>
  </si>
  <si>
    <t>E04311</t>
  </si>
  <si>
    <t>E02510</t>
  </si>
  <si>
    <t>noah.jackson@northfield-hr.com</t>
  </si>
  <si>
    <t>E02293</t>
  </si>
  <si>
    <t>E01324</t>
  </si>
  <si>
    <t>E01551</t>
  </si>
  <si>
    <t>E04648</t>
  </si>
  <si>
    <t>priya.martin@northfield-hr.com</t>
  </si>
  <si>
    <t>E00316</t>
  </si>
  <si>
    <t>E01243</t>
  </si>
  <si>
    <t>E02451</t>
  </si>
  <si>
    <t>E01579</t>
  </si>
  <si>
    <t>david.adams@northfield-hr.com</t>
  </si>
  <si>
    <t>E04626</t>
  </si>
  <si>
    <t>susan.brown@northfield-hr.com</t>
  </si>
  <si>
    <t>E03117</t>
  </si>
  <si>
    <t>chidi.rodriguez@northfield-hr.com</t>
  </si>
  <si>
    <t>E00070</t>
  </si>
  <si>
    <t>E00860</t>
  </si>
  <si>
    <t>E02754</t>
  </si>
  <si>
    <t>E01633</t>
  </si>
  <si>
    <t>mary.young@northfield-hr.com</t>
  </si>
  <si>
    <t>E01651</t>
  </si>
  <si>
    <t>lucas.lewis@northfield-hr.com</t>
  </si>
  <si>
    <t>E03861</t>
  </si>
  <si>
    <t>liam.scott@northfield-hr.com</t>
  </si>
  <si>
    <t>E03107</t>
  </si>
  <si>
    <t>karen.lewis@northfield-hr.com</t>
  </si>
  <si>
    <t>E01075</t>
  </si>
  <si>
    <t>E04002</t>
  </si>
  <si>
    <t>E00788</t>
  </si>
  <si>
    <t>noah.sanchez@northfield-hr.com</t>
  </si>
  <si>
    <t>E02606</t>
  </si>
  <si>
    <t>mohammed.lopez@northfield-hr.com</t>
  </si>
  <si>
    <t>E03631</t>
  </si>
  <si>
    <t>mary.clark@northfield-hr.com</t>
  </si>
  <si>
    <t>E02122</t>
  </si>
  <si>
    <t>jennifer.hill@northfield-hr.com</t>
  </si>
  <si>
    <t>E01875</t>
  </si>
  <si>
    <t>mary.rodriguez@northfield-hr.com</t>
  </si>
  <si>
    <t>E00812</t>
  </si>
  <si>
    <t>wei.thompson@northfield-hr.com</t>
  </si>
  <si>
    <t>E00388</t>
  </si>
  <si>
    <t>emma.davis@northfield-hr.com</t>
  </si>
  <si>
    <t>E02883</t>
  </si>
  <si>
    <t>joseph.brown@northfield-hr.com</t>
  </si>
  <si>
    <t>E01176</t>
  </si>
  <si>
    <t>john.rodriguez@northfield-hr.com</t>
  </si>
  <si>
    <t>E03198</t>
  </si>
  <si>
    <t>charles.allen@northfield-hr.com</t>
  </si>
  <si>
    <t>E02624</t>
  </si>
  <si>
    <t>mohammed.harris@northfield-hr.com</t>
  </si>
  <si>
    <t>E01352</t>
  </si>
  <si>
    <t>wei.garcia@northfield-hr.com</t>
  </si>
  <si>
    <t>E00411</t>
  </si>
  <si>
    <t>E04213</t>
  </si>
  <si>
    <t>hiroshi.nguyen@northfield-hr.com</t>
  </si>
  <si>
    <t>E00110</t>
  </si>
  <si>
    <t>karen.torres@northfield-hr.com</t>
  </si>
  <si>
    <t>E02083</t>
  </si>
  <si>
    <t>priya.hill@northfield-hr.com</t>
  </si>
  <si>
    <t>E03430</t>
  </si>
  <si>
    <t>robert.sanchez@northfield-hr.com</t>
  </si>
  <si>
    <t>E02810</t>
  </si>
  <si>
    <t>yuki.martin@northfield-hr.com</t>
  </si>
  <si>
    <t>E02595</t>
  </si>
  <si>
    <t>john.wright@northfield-hr.com</t>
  </si>
  <si>
    <t>E02837</t>
  </si>
  <si>
    <t>robert.allen@northfield-hr.com</t>
  </si>
  <si>
    <t>E02373</t>
  </si>
  <si>
    <t>john.sanchez@northfield-hr.com</t>
  </si>
  <si>
    <t>E01236</t>
  </si>
  <si>
    <t>joseph.jackson@northfield-hr.com</t>
  </si>
  <si>
    <t>E02147</t>
  </si>
  <si>
    <t>liam.davis@northfield-hr.com</t>
  </si>
  <si>
    <t>E02254</t>
  </si>
  <si>
    <t>elizabeth.miller@northfield-hr.com</t>
  </si>
  <si>
    <t>E00600</t>
  </si>
  <si>
    <t>priya.harris@northfield-hr.com</t>
  </si>
  <si>
    <t>E01435</t>
  </si>
  <si>
    <t>patricia.thompson@northfield-hr.com</t>
  </si>
  <si>
    <t>E04192</t>
  </si>
  <si>
    <t>mohammed.scott@northfield-hr.com</t>
  </si>
  <si>
    <t>E00539</t>
  </si>
  <si>
    <t>priya.king@northfield-hr.com</t>
  </si>
  <si>
    <t>E00722</t>
  </si>
  <si>
    <t>michael.rodriguez@northfield-hr.com</t>
  </si>
  <si>
    <t>E04411</t>
  </si>
  <si>
    <t>jennifer.anderson@northfield-hr.com</t>
  </si>
  <si>
    <t>E01873</t>
  </si>
  <si>
    <t>carlos.lewis@northfield-hr.com</t>
  </si>
  <si>
    <t>E02846</t>
  </si>
  <si>
    <t>yuki.perez@northfield-hr.com</t>
  </si>
  <si>
    <t>E02054</t>
  </si>
  <si>
    <t>sofia.hill@northfield-hr.com</t>
  </si>
  <si>
    <t>E02908</t>
  </si>
  <si>
    <t>liam.robinson@northfield-hr.com</t>
  </si>
  <si>
    <t>E02255</t>
  </si>
  <si>
    <t>priya.nguyen@northfield-hr.com</t>
  </si>
  <si>
    <t>E03913</t>
  </si>
  <si>
    <t>E00178</t>
  </si>
  <si>
    <t>carlos.rodriguez@northfield-hr.com</t>
  </si>
  <si>
    <t>E02891</t>
  </si>
  <si>
    <t>linda.wilson@northfield-hr.com</t>
  </si>
  <si>
    <t>E03674</t>
  </si>
  <si>
    <t>E00081</t>
  </si>
  <si>
    <t>emma.rodriguez@northfield-hr.com</t>
  </si>
  <si>
    <t>E02562</t>
  </si>
  <si>
    <t>karen.adams@northfield-hr.com</t>
  </si>
  <si>
    <t>E01724</t>
  </si>
  <si>
    <t>mateo.wilson@northfield-hr.com</t>
  </si>
  <si>
    <t>E01618</t>
  </si>
  <si>
    <t>david.moore@northfield-hr.com</t>
  </si>
  <si>
    <t>E01655</t>
  </si>
  <si>
    <t>E02329</t>
  </si>
  <si>
    <t>david.anderson@northfield-hr.com</t>
  </si>
  <si>
    <t>E04614</t>
  </si>
  <si>
    <t>E00222</t>
  </si>
  <si>
    <t>E00094</t>
  </si>
  <si>
    <t>amara.moore@northfield-hr.com</t>
  </si>
  <si>
    <t>E02610</t>
  </si>
  <si>
    <t>E03383</t>
  </si>
  <si>
    <t>Lee</t>
  </si>
  <si>
    <t>sofia.lee@northfield-hr.com</t>
  </si>
  <si>
    <t>E04416</t>
  </si>
  <si>
    <t>john.king@northfield-hr.com</t>
  </si>
  <si>
    <t>E01398</t>
  </si>
  <si>
    <t>john.walker@northfield-hr.com</t>
  </si>
  <si>
    <t>E04687</t>
  </si>
  <si>
    <t>E01293</t>
  </si>
  <si>
    <t>john.clark@northfield-hr.com</t>
  </si>
  <si>
    <t>E02165</t>
  </si>
  <si>
    <t>joseph.rodriguez@northfield-hr.com</t>
  </si>
  <si>
    <t>E02940</t>
  </si>
  <si>
    <t>charles.davis@northfield-hr.com</t>
  </si>
  <si>
    <t>E03669</t>
  </si>
  <si>
    <t>priya.lopez@northfield-hr.com</t>
  </si>
  <si>
    <t>E00813</t>
  </si>
  <si>
    <t>E01259</t>
  </si>
  <si>
    <t>richard.adams@northfield-hr.com</t>
  </si>
  <si>
    <t>E00890</t>
  </si>
  <si>
    <t>james.harris@northfield-hr.com</t>
  </si>
  <si>
    <t>E01452</t>
  </si>
  <si>
    <t>priya.sanchez@northfield-hr.com</t>
  </si>
  <si>
    <t>E03317</t>
  </si>
  <si>
    <t>fatima.clark@northfield-hr.com</t>
  </si>
  <si>
    <t>E02560</t>
  </si>
  <si>
    <t>james.anderson@northfield-hr.com</t>
  </si>
  <si>
    <t>E03575</t>
  </si>
  <si>
    <t>charles.johnson@northfield-hr.com</t>
  </si>
  <si>
    <t>E02681</t>
  </si>
  <si>
    <t>E04652</t>
  </si>
  <si>
    <t>david.davis@northfield-hr.com</t>
  </si>
  <si>
    <t>E03792</t>
  </si>
  <si>
    <t>liam.miller@northfield-hr.com</t>
  </si>
  <si>
    <t>E04680</t>
  </si>
  <si>
    <t>ingrid.scott@northfield-hr.com</t>
  </si>
  <si>
    <t>E02965</t>
  </si>
  <si>
    <t>chidi.adams@northfield-hr.com</t>
  </si>
  <si>
    <t>E02673</t>
  </si>
  <si>
    <t>susan.scott@northfield-hr.com</t>
  </si>
  <si>
    <t>E00562</t>
  </si>
  <si>
    <t>E02779</t>
  </si>
  <si>
    <t>carlos.torres@northfield-hr.com</t>
  </si>
  <si>
    <t>E02949</t>
  </si>
  <si>
    <t>mohammed.martin@northfield-hr.com</t>
  </si>
  <si>
    <t>E02818</t>
  </si>
  <si>
    <t>jennifer.white@northfield-hr.com</t>
  </si>
  <si>
    <t>E02759</t>
  </si>
  <si>
    <t>james.wright@northfield-hr.com</t>
  </si>
  <si>
    <t>E01757</t>
  </si>
  <si>
    <t>aiko.jackson@northfield-hr.com</t>
  </si>
  <si>
    <t>E00725</t>
  </si>
  <si>
    <t>E00220</t>
  </si>
  <si>
    <t>aiko.allen@northfield-hr.com</t>
  </si>
  <si>
    <t>E04140</t>
  </si>
  <si>
    <t>E03958</t>
  </si>
  <si>
    <t>mateo.perez@northfield-hr.com</t>
  </si>
  <si>
    <t>E01589</t>
  </si>
  <si>
    <t>ingrid.gonzalez@northfield-hr.com</t>
  </si>
  <si>
    <t>E03348</t>
  </si>
  <si>
    <t>linda.walker@northfield-hr.com</t>
  </si>
  <si>
    <t>E03971</t>
  </si>
  <si>
    <t>E02214</t>
  </si>
  <si>
    <t>mohammed.taylor@northfield-hr.com</t>
  </si>
  <si>
    <t>E00044</t>
  </si>
  <si>
    <t>noah.wright@northfield-hr.com</t>
  </si>
  <si>
    <t>E03002</t>
  </si>
  <si>
    <t>robert.johnson@northfield-hr.com</t>
  </si>
  <si>
    <t>E00211</t>
  </si>
  <si>
    <t>E00678</t>
  </si>
  <si>
    <t>E00355</t>
  </si>
  <si>
    <t>fatima.brown@northfield-hr.com</t>
  </si>
  <si>
    <t>E01434</t>
  </si>
  <si>
    <t>E00950</t>
  </si>
  <si>
    <t>william.wright@northfield-hr.com</t>
  </si>
  <si>
    <t>E02844</t>
  </si>
  <si>
    <t>charles.taylor@northfield-hr.com</t>
  </si>
  <si>
    <t>E00578</t>
  </si>
  <si>
    <t>E03929</t>
  </si>
  <si>
    <t>fatima.sanchez@northfield-hr.com</t>
  </si>
  <si>
    <t>E00545</t>
  </si>
  <si>
    <t>patricia.miller@northfield-hr.com</t>
  </si>
  <si>
    <t>E00368</t>
  </si>
  <si>
    <t>yuki.harris@northfield-hr.com</t>
  </si>
  <si>
    <t>E01613</t>
  </si>
  <si>
    <t>mohammed.adams@northfield-hr.com</t>
  </si>
  <si>
    <t>Employee ID</t>
  </si>
  <si>
    <t>First Name</t>
  </si>
  <si>
    <t>Last Name</t>
  </si>
  <si>
    <t>Gender</t>
  </si>
  <si>
    <t>Age</t>
  </si>
  <si>
    <t>Department</t>
  </si>
  <si>
    <t>Job Title</t>
  </si>
  <si>
    <t>Salary</t>
  </si>
  <si>
    <t>Hire Date</t>
  </si>
  <si>
    <t>Email</t>
  </si>
  <si>
    <t>City</t>
  </si>
  <si>
    <t>Performance Rating</t>
  </si>
  <si>
    <t/>
  </si>
  <si>
    <t>31-35</t>
  </si>
  <si>
    <t>36-40</t>
  </si>
  <si>
    <t>41-45</t>
  </si>
  <si>
    <t>46-50</t>
  </si>
  <si>
    <t>51-55</t>
  </si>
  <si>
    <t>56-60</t>
  </si>
  <si>
    <t>Unknown</t>
  </si>
  <si>
    <t>Company Tenure</t>
  </si>
  <si>
    <t>Total Employees</t>
  </si>
  <si>
    <t>Row Labels</t>
  </si>
  <si>
    <t>Grand Total</t>
  </si>
  <si>
    <t>Count of Employee ID</t>
  </si>
  <si>
    <t>Age Group</t>
  </si>
  <si>
    <t>Salary Range</t>
  </si>
  <si>
    <t>100K - 150K</t>
  </si>
  <si>
    <t>24-30</t>
  </si>
  <si>
    <t>30K - 50K</t>
  </si>
  <si>
    <t>50K - 100K</t>
  </si>
  <si>
    <t>150K - 200K</t>
  </si>
  <si>
    <t>Above 200K</t>
  </si>
  <si>
    <t>61-66</t>
  </si>
  <si>
    <t>Tenure Range</t>
  </si>
  <si>
    <t>Average of Performance Rating</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</si>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</sst>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409]* #,##0_ ;_-[$$-409]* \-#,##0\ ;_-[$$-409]* &quot;-&quot;??_ ;_-@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14" fontId="0" fillId="0" borderId="0" xfId="0" applyNumberFormat="1"/>
    <xf numFmtId="164" fontId="0" fillId="0" borderId="0" xfId="1" applyNumberFormat="1" applyFont="1" applyAlignment="1">
      <alignment vertical="top"/>
    </xf>
    <xf numFmtId="1" fontId="0" fillId="0" borderId="0" xfId="0" applyNumberFormat="1" applyAlignment="1">
      <alignment horizontal="center" vertical="center"/>
    </xf>
    <xf numFmtId="0" fontId="0" fillId="0" borderId="0" xfId="0" pivotButton="1"/>
    <xf numFmtId="0" fontId="0" fillId="0" borderId="0" xfId="0" applyAlignment="1">
      <alignment horizontal="left"/>
    </xf>
    <xf numFmtId="22" fontId="0" fillId="0" borderId="0" xfId="0" applyNumberFormat="1"/>
    <xf numFmtId="2" fontId="0" fillId="0" borderId="0" xfId="0" applyNumberFormat="1"/>
    <xf numFmtId="2" fontId="0" fillId="0" borderId="0" xfId="0" pivotButton="1" applyNumberFormat="1"/>
    <xf numFmtId="2" fontId="0" fillId="0" borderId="0" xfId="0" applyNumberFormat="1" applyAlignment="1">
      <alignment horizontal="left"/>
    </xf>
    <xf numFmtId="1" fontId="0" fillId="0" borderId="0" xfId="0" applyNumberFormat="1"/>
    <xf numFmtId="0" fontId="0" fillId="0" borderId="0" xfId="0" applyNumberFormat="1"/>
    <xf numFmtId="164" fontId="0" fillId="0" borderId="0" xfId="0" applyNumberFormat="1"/>
  </cellXfs>
  <cellStyles count="2">
    <cellStyle name="Comma" xfId="1" builtinId="3"/>
    <cellStyle name="Normal" xfId="0" builtinId="0"/>
  </cellStyles>
  <dxfs count="491">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4" formatCode="_-[$$-409]* #,##0_ ;_-[$$-409]* \-#,##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67" formatCode="_-[$$-409]* #,##0.0_ ;_-[$$-409]* \-#,##0.0\ ;_-[$$-409]* &quot;-&quot;??_ ;_-@_ "/>
    </dxf>
    <dxf>
      <numFmt numFmtId="164" formatCode="_-[$$-409]* #,##0_ ;_-[$$-409]* \-#,##0\ ;_-[$$-409]* &quot;-&quot;??_ ;_-@_ "/>
    </dxf>
    <dxf>
      <numFmt numFmtId="2" formatCode="0.00"/>
    </dxf>
    <dxf>
      <numFmt numFmtId="2" formatCode="0.00"/>
    </dxf>
    <dxf>
      <numFmt numFmtId="167" formatCode="_-[$$-409]* #,##0.0_ ;_-[$$-409]* \-#,##0.0\ ;_-[$$-409]* &quot;-&quot;??_ ;_-@_ "/>
    </dxf>
    <dxf>
      <numFmt numFmtId="166" formatCode="_-[$$-409]* #,##0.00_ ;_-[$$-409]* \-#,##0.00\ ;_-[$$-409]* &quot;-&quot;??_ ;_-@_ "/>
    </dxf>
    <dxf>
      <numFmt numFmtId="2" formatCode="0.00"/>
    </dxf>
    <dxf>
      <numFmt numFmtId="2" formatCode="0.00"/>
    </dxf>
    <dxf>
      <numFmt numFmtId="166" formatCode="_-[$$-409]* #,##0.00_ ;_-[$$-409]* \-#,##0.00\ ;_-[$$-409]* &quot;-&quot;??_ ;_-@_ "/>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66"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 formatCode="0"/>
      <alignment horizontal="center" vertical="center" textRotation="0" wrapText="0" indent="0" justifyLastLine="0" shrinkToFit="0" readingOrder="0"/>
    </dxf>
    <dxf>
      <numFmt numFmtId="19" formatCode="dd/mm/yyyy"/>
    </dxf>
    <dxf>
      <font>
        <b val="0"/>
        <i val="0"/>
        <strike val="0"/>
        <condense val="0"/>
        <extend val="0"/>
        <outline val="0"/>
        <shadow val="0"/>
        <u val="none"/>
        <vertAlign val="baseline"/>
        <sz val="11"/>
        <color theme="1"/>
        <name val="Calibri"/>
        <family val="2"/>
        <scheme val="minor"/>
      </font>
      <numFmt numFmtId="164" formatCode="_-[$$-409]* #,##0_ ;_-[$$-409]* \-#,##0\ ;_-[$$-409]* &quot;-&quot;??_ ;_-@_ "/>
      <alignment horizontal="general" vertical="top" textRotation="0" wrapText="0" indent="0" justifyLastLine="0" shrinkToFit="0" readingOrder="0"/>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23A400"/>
      <color rgb="FFB7FF8F"/>
      <color rgb="FF1B6915"/>
      <color rgb="FF4DF151"/>
      <color rgb="FF39B507"/>
      <color rgb="FF3AB861"/>
      <color rgb="FF7CC36B"/>
      <color rgb="FF50B648"/>
      <color rgb="FF3BA340"/>
      <color rgb="FF75D1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Cleaned.xlsx]Pivot Table!PivotTable2</c:name>
    <c:fmtId val="3"/>
  </c:pivotSource>
  <c:chart>
    <c:title>
      <c:tx>
        <c:rich>
          <a:bodyPr rot="0" spcFirstLastPara="1" vertOverflow="ellipsis" vert="horz" wrap="square" anchor="ctr" anchorCtr="1"/>
          <a:lstStyle/>
          <a:p>
            <a:pPr algn="l">
              <a:defRPr sz="1400" b="0" i="0" u="none" strike="noStrike" kern="1200" spc="0" baseline="0">
                <a:solidFill>
                  <a:schemeClr val="tx1">
                    <a:lumMod val="95000"/>
                    <a:lumOff val="5000"/>
                  </a:schemeClr>
                </a:solidFill>
                <a:latin typeface="+mn-lt"/>
                <a:ea typeface="+mn-ea"/>
                <a:cs typeface="+mn-cs"/>
              </a:defRPr>
            </a:pPr>
            <a:r>
              <a:rPr lang="en-US" sz="1200" b="1"/>
              <a:t>Employees By Department</a:t>
            </a:r>
          </a:p>
        </c:rich>
      </c:tx>
      <c:layout>
        <c:manualLayout>
          <c:xMode val="edge"/>
          <c:yMode val="edge"/>
          <c:x val="1.9431629908743215E-2"/>
          <c:y val="3.29218106995884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47214"/>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Table'!$D$3</c:f>
              <c:strCache>
                <c:ptCount val="1"/>
                <c:pt idx="0">
                  <c:v>Total</c:v>
                </c:pt>
              </c:strCache>
            </c:strRef>
          </c:tx>
          <c:spPr>
            <a:solidFill>
              <a:srgbClr val="14721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Table'!$C$4:$C$15</c:f>
              <c:strCache>
                <c:ptCount val="11"/>
                <c:pt idx="0">
                  <c:v>Customer Support</c:v>
                </c:pt>
                <c:pt idx="1">
                  <c:v>Engineering</c:v>
                </c:pt>
                <c:pt idx="2">
                  <c:v>Finance</c:v>
                </c:pt>
                <c:pt idx="3">
                  <c:v>Human Resources</c:v>
                </c:pt>
                <c:pt idx="4">
                  <c:v>IT</c:v>
                </c:pt>
                <c:pt idx="5">
                  <c:v>Legal</c:v>
                </c:pt>
                <c:pt idx="6">
                  <c:v>Marketing</c:v>
                </c:pt>
                <c:pt idx="7">
                  <c:v>Operations</c:v>
                </c:pt>
                <c:pt idx="8">
                  <c:v>Research &amp; Development</c:v>
                </c:pt>
                <c:pt idx="9">
                  <c:v>Sales</c:v>
                </c:pt>
                <c:pt idx="10">
                  <c:v>Unknown</c:v>
                </c:pt>
              </c:strCache>
            </c:strRef>
          </c:cat>
          <c:val>
            <c:numRef>
              <c:f>'Pivot Table'!$D$4:$D$15</c:f>
              <c:numCache>
                <c:formatCode>General</c:formatCode>
                <c:ptCount val="11"/>
                <c:pt idx="0">
                  <c:v>50</c:v>
                </c:pt>
                <c:pt idx="1">
                  <c:v>40</c:v>
                </c:pt>
                <c:pt idx="2">
                  <c:v>38</c:v>
                </c:pt>
                <c:pt idx="3">
                  <c:v>42</c:v>
                </c:pt>
                <c:pt idx="4">
                  <c:v>51</c:v>
                </c:pt>
                <c:pt idx="5">
                  <c:v>39</c:v>
                </c:pt>
                <c:pt idx="6">
                  <c:v>56</c:v>
                </c:pt>
                <c:pt idx="7">
                  <c:v>44</c:v>
                </c:pt>
                <c:pt idx="8">
                  <c:v>52</c:v>
                </c:pt>
                <c:pt idx="9">
                  <c:v>51</c:v>
                </c:pt>
                <c:pt idx="10">
                  <c:v>36</c:v>
                </c:pt>
              </c:numCache>
            </c:numRef>
          </c:val>
          <c:extLst>
            <c:ext xmlns:c16="http://schemas.microsoft.com/office/drawing/2014/chart" uri="{C3380CC4-5D6E-409C-BE32-E72D297353CC}">
              <c16:uniqueId val="{00000000-59E8-4141-968E-18870485DD24}"/>
            </c:ext>
          </c:extLst>
        </c:ser>
        <c:dLbls>
          <c:dLblPos val="outEnd"/>
          <c:showLegendKey val="0"/>
          <c:showVal val="1"/>
          <c:showCatName val="0"/>
          <c:showSerName val="0"/>
          <c:showPercent val="0"/>
          <c:showBubbleSize val="0"/>
        </c:dLbls>
        <c:gapWidth val="182"/>
        <c:axId val="557955360"/>
        <c:axId val="1334449200"/>
      </c:barChart>
      <c:catAx>
        <c:axId val="557955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1334449200"/>
        <c:crosses val="autoZero"/>
        <c:auto val="1"/>
        <c:lblAlgn val="ctr"/>
        <c:lblOffset val="100"/>
        <c:noMultiLvlLbl val="0"/>
      </c:catAx>
      <c:valAx>
        <c:axId val="1334449200"/>
        <c:scaling>
          <c:orientation val="minMax"/>
        </c:scaling>
        <c:delete val="1"/>
        <c:axPos val="b"/>
        <c:numFmt formatCode="General" sourceLinked="1"/>
        <c:majorTickMark val="out"/>
        <c:minorTickMark val="none"/>
        <c:tickLblPos val="nextTo"/>
        <c:crossAx val="55795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1">
          <a:shade val="15000"/>
        </a:schemeClr>
      </a:solidFill>
      <a:round/>
    </a:ln>
    <a:effectLst>
      <a:glow rad="63500">
        <a:schemeClr val="accent3">
          <a:satMod val="175000"/>
          <a:alpha val="40000"/>
        </a:schemeClr>
      </a:glow>
      <a:outerShdw blurRad="50800" dist="38100" dir="300000" algn="tl" rotWithShape="0">
        <a:prstClr val="black">
          <a:alpha val="40000"/>
        </a:prstClr>
      </a:outerShdw>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Cleaned.xlsx]Pivot Table!PivotTable6</c:name>
    <c:fmtId val="3"/>
  </c:pivotSource>
  <c:chart>
    <c:title>
      <c:tx>
        <c:rich>
          <a:bodyPr rot="0" spcFirstLastPara="1" vertOverflow="ellipsis" vert="horz" wrap="square" anchor="ctr" anchorCtr="1"/>
          <a:lstStyle/>
          <a:p>
            <a:pPr algn="l">
              <a:defRPr lang="en-US" sz="1200" b="0" i="0" u="none" strike="noStrike" kern="1200" spc="0" baseline="0">
                <a:solidFill>
                  <a:schemeClr val="tx1">
                    <a:lumMod val="95000"/>
                    <a:lumOff val="5000"/>
                  </a:schemeClr>
                </a:solidFill>
                <a:latin typeface="+mn-lt"/>
                <a:ea typeface="+mn-ea"/>
                <a:cs typeface="+mn-cs"/>
              </a:defRPr>
            </a:pPr>
            <a:r>
              <a:rPr lang="en-US" sz="1200" b="1" baseline="0"/>
              <a:t>Employees by Age</a:t>
            </a:r>
            <a:endParaRPr lang="en-US" sz="1200" b="1"/>
          </a:p>
        </c:rich>
      </c:tx>
      <c:layout>
        <c:manualLayout>
          <c:xMode val="edge"/>
          <c:yMode val="edge"/>
          <c:x val="2.2923447069116382E-2"/>
          <c:y val="3.4188034188034191E-2"/>
        </c:manualLayout>
      </c:layout>
      <c:overlay val="0"/>
      <c:spPr>
        <a:noFill/>
        <a:ln>
          <a:noFill/>
        </a:ln>
        <a:effectLst/>
      </c:spPr>
      <c:txPr>
        <a:bodyPr rot="0" spcFirstLastPara="1" vertOverflow="ellipsis" vert="horz" wrap="square" anchor="ctr" anchorCtr="1"/>
        <a:lstStyle/>
        <a:p>
          <a:pPr algn="l">
            <a:defRPr lang="en-US" sz="12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18583"/>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18583"/>
          </a:solidFill>
          <a:ln>
            <a:noFill/>
          </a:ln>
          <a:effectLst/>
        </c:spPr>
        <c:dLbl>
          <c:idx val="0"/>
          <c:layout>
            <c:manualLayout>
              <c:x val="2.9801363353709333E-3"/>
              <c:y val="-0.25879531992150967"/>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18583"/>
          </a:solidFill>
          <a:ln>
            <a:noFill/>
          </a:ln>
          <a:effectLst/>
        </c:spPr>
        <c:dLbl>
          <c:idx val="0"/>
          <c:layout>
            <c:manualLayout>
              <c:x val="-1.0927040332924388E-16"/>
              <c:y val="-0.20533890223550777"/>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18583"/>
          </a:solidFill>
          <a:ln>
            <a:noFill/>
          </a:ln>
          <a:effectLst/>
        </c:spPr>
        <c:dLbl>
          <c:idx val="0"/>
          <c:layout>
            <c:manualLayout>
              <c:x val="0"/>
              <c:y val="-9.0497780547870235E-2"/>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18583"/>
          </a:solidFill>
          <a:ln>
            <a:noFill/>
          </a:ln>
          <a:effectLst/>
        </c:spPr>
        <c:dLbl>
          <c:idx val="0"/>
          <c:layout>
            <c:manualLayout>
              <c:x val="0"/>
              <c:y val="-7.8431409808154204E-2"/>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18583"/>
          </a:solidFill>
          <a:ln>
            <a:noFill/>
          </a:ln>
          <a:effectLst/>
        </c:spPr>
        <c:dLbl>
          <c:idx val="0"/>
          <c:layout>
            <c:manualLayout>
              <c:x val="-3.0792917628945341E-3"/>
              <c:y val="-0.19909511720531459"/>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18583"/>
          </a:solidFill>
          <a:ln>
            <a:noFill/>
          </a:ln>
          <a:effectLst/>
        </c:spPr>
        <c:dLbl>
          <c:idx val="0"/>
          <c:layout>
            <c:manualLayout>
              <c:x val="-5.6453030169511289E-17"/>
              <c:y val="-0.25339378553403674"/>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18583"/>
          </a:solidFill>
          <a:ln>
            <a:noFill/>
          </a:ln>
          <a:effectLst/>
        </c:spPr>
        <c:dLbl>
          <c:idx val="0"/>
          <c:layout>
            <c:manualLayout>
              <c:x val="0"/>
              <c:y val="-0.33785838071204888"/>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18583"/>
          </a:solidFill>
          <a:ln>
            <a:noFill/>
          </a:ln>
          <a:effectLst/>
        </c:spPr>
        <c:dLbl>
          <c:idx val="0"/>
          <c:layout>
            <c:manualLayout>
              <c:x val="0"/>
              <c:y val="-0.15686281961630841"/>
            </c:manualLayout>
          </c:layout>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72693967642352E-2"/>
          <c:y val="0.10372645748134018"/>
          <c:w val="0.9320987654320988"/>
          <c:h val="0.69914265803517384"/>
        </c:manualLayout>
      </c:layout>
      <c:barChart>
        <c:barDir val="col"/>
        <c:grouping val="stacked"/>
        <c:varyColors val="0"/>
        <c:ser>
          <c:idx val="0"/>
          <c:order val="0"/>
          <c:tx>
            <c:strRef>
              <c:f>'Pivot Table'!$D$19</c:f>
              <c:strCache>
                <c:ptCount val="1"/>
                <c:pt idx="0">
                  <c:v>Total</c:v>
                </c:pt>
              </c:strCache>
            </c:strRef>
          </c:tx>
          <c:spPr>
            <a:solidFill>
              <a:srgbClr val="518583"/>
            </a:solidFill>
            <a:ln>
              <a:noFill/>
            </a:ln>
            <a:effectLst/>
          </c:spPr>
          <c:invertIfNegative val="0"/>
          <c:dPt>
            <c:idx val="0"/>
            <c:invertIfNegative val="0"/>
            <c:bubble3D val="0"/>
            <c:spPr>
              <a:solidFill>
                <a:srgbClr val="518583"/>
              </a:solidFill>
              <a:ln>
                <a:noFill/>
              </a:ln>
              <a:effectLst/>
            </c:spPr>
            <c:extLst>
              <c:ext xmlns:c16="http://schemas.microsoft.com/office/drawing/2014/chart" uri="{C3380CC4-5D6E-409C-BE32-E72D297353CC}">
                <c16:uniqueId val="{00000008-24DA-471A-852F-67A864A82F53}"/>
              </c:ext>
            </c:extLst>
          </c:dPt>
          <c:dPt>
            <c:idx val="1"/>
            <c:invertIfNegative val="0"/>
            <c:bubble3D val="0"/>
            <c:spPr>
              <a:solidFill>
                <a:srgbClr val="518583"/>
              </a:solidFill>
              <a:ln>
                <a:noFill/>
              </a:ln>
              <a:effectLst/>
            </c:spPr>
            <c:extLst>
              <c:ext xmlns:c16="http://schemas.microsoft.com/office/drawing/2014/chart" uri="{C3380CC4-5D6E-409C-BE32-E72D297353CC}">
                <c16:uniqueId val="{00000005-24DA-471A-852F-67A864A82F53}"/>
              </c:ext>
            </c:extLst>
          </c:dPt>
          <c:dPt>
            <c:idx val="2"/>
            <c:invertIfNegative val="0"/>
            <c:bubble3D val="0"/>
            <c:spPr>
              <a:solidFill>
                <a:srgbClr val="518583"/>
              </a:solidFill>
              <a:ln>
                <a:noFill/>
              </a:ln>
              <a:effectLst/>
            </c:spPr>
            <c:extLst>
              <c:ext xmlns:c16="http://schemas.microsoft.com/office/drawing/2014/chart" uri="{C3380CC4-5D6E-409C-BE32-E72D297353CC}">
                <c16:uniqueId val="{00000006-24DA-471A-852F-67A864A82F53}"/>
              </c:ext>
            </c:extLst>
          </c:dPt>
          <c:dPt>
            <c:idx val="3"/>
            <c:invertIfNegative val="0"/>
            <c:bubble3D val="0"/>
            <c:spPr>
              <a:solidFill>
                <a:srgbClr val="518583"/>
              </a:solidFill>
              <a:ln>
                <a:noFill/>
              </a:ln>
              <a:effectLst/>
            </c:spPr>
            <c:extLst>
              <c:ext xmlns:c16="http://schemas.microsoft.com/office/drawing/2014/chart" uri="{C3380CC4-5D6E-409C-BE32-E72D297353CC}">
                <c16:uniqueId val="{00000007-24DA-471A-852F-67A864A82F53}"/>
              </c:ext>
            </c:extLst>
          </c:dPt>
          <c:dPt>
            <c:idx val="4"/>
            <c:invertIfNegative val="0"/>
            <c:bubble3D val="0"/>
            <c:spPr>
              <a:solidFill>
                <a:srgbClr val="518583"/>
              </a:solidFill>
              <a:ln>
                <a:noFill/>
              </a:ln>
              <a:effectLst/>
            </c:spPr>
            <c:extLst>
              <c:ext xmlns:c16="http://schemas.microsoft.com/office/drawing/2014/chart" uri="{C3380CC4-5D6E-409C-BE32-E72D297353CC}">
                <c16:uniqueId val="{00000001-24DA-471A-852F-67A864A82F53}"/>
              </c:ext>
            </c:extLst>
          </c:dPt>
          <c:dPt>
            <c:idx val="5"/>
            <c:invertIfNegative val="0"/>
            <c:bubble3D val="0"/>
            <c:spPr>
              <a:solidFill>
                <a:srgbClr val="518583"/>
              </a:solidFill>
              <a:ln>
                <a:noFill/>
              </a:ln>
              <a:effectLst/>
            </c:spPr>
            <c:extLst>
              <c:ext xmlns:c16="http://schemas.microsoft.com/office/drawing/2014/chart" uri="{C3380CC4-5D6E-409C-BE32-E72D297353CC}">
                <c16:uniqueId val="{00000002-24DA-471A-852F-67A864A82F53}"/>
              </c:ext>
            </c:extLst>
          </c:dPt>
          <c:dPt>
            <c:idx val="6"/>
            <c:invertIfNegative val="0"/>
            <c:bubble3D val="0"/>
            <c:spPr>
              <a:solidFill>
                <a:srgbClr val="518583"/>
              </a:solidFill>
              <a:ln>
                <a:noFill/>
              </a:ln>
              <a:effectLst/>
            </c:spPr>
            <c:extLst>
              <c:ext xmlns:c16="http://schemas.microsoft.com/office/drawing/2014/chart" uri="{C3380CC4-5D6E-409C-BE32-E72D297353CC}">
                <c16:uniqueId val="{00000003-24DA-471A-852F-67A864A82F53}"/>
              </c:ext>
            </c:extLst>
          </c:dPt>
          <c:dPt>
            <c:idx val="7"/>
            <c:invertIfNegative val="0"/>
            <c:bubble3D val="0"/>
            <c:spPr>
              <a:solidFill>
                <a:srgbClr val="518583"/>
              </a:solidFill>
              <a:ln>
                <a:noFill/>
              </a:ln>
              <a:effectLst/>
            </c:spPr>
            <c:extLst>
              <c:ext xmlns:c16="http://schemas.microsoft.com/office/drawing/2014/chart" uri="{C3380CC4-5D6E-409C-BE32-E72D297353CC}">
                <c16:uniqueId val="{00000004-24DA-471A-852F-67A864A82F53}"/>
              </c:ext>
            </c:extLst>
          </c:dPt>
          <c:dLbls>
            <c:dLbl>
              <c:idx val="0"/>
              <c:layout>
                <c:manualLayout>
                  <c:x val="0"/>
                  <c:y val="-0.156862819616308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DA-471A-852F-67A864A82F53}"/>
                </c:ext>
              </c:extLst>
            </c:dLbl>
            <c:dLbl>
              <c:idx val="1"/>
              <c:layout>
                <c:manualLayout>
                  <c:x val="-3.0792917628945341E-3"/>
                  <c:y val="-0.199095117205314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DA-471A-852F-67A864A82F53}"/>
                </c:ext>
              </c:extLst>
            </c:dLbl>
            <c:dLbl>
              <c:idx val="2"/>
              <c:layout>
                <c:manualLayout>
                  <c:x val="-5.6453030169511289E-17"/>
                  <c:y val="-0.25339378553403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DA-471A-852F-67A864A82F53}"/>
                </c:ext>
              </c:extLst>
            </c:dLbl>
            <c:dLbl>
              <c:idx val="3"/>
              <c:layout>
                <c:manualLayout>
                  <c:x val="0"/>
                  <c:y val="-0.33785838071204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DA-471A-852F-67A864A82F53}"/>
                </c:ext>
              </c:extLst>
            </c:dLbl>
            <c:dLbl>
              <c:idx val="4"/>
              <c:layout>
                <c:manualLayout>
                  <c:x val="2.9801363353709333E-3"/>
                  <c:y val="-0.258795319921509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DA-471A-852F-67A864A82F53}"/>
                </c:ext>
              </c:extLst>
            </c:dLbl>
            <c:dLbl>
              <c:idx val="5"/>
              <c:layout>
                <c:manualLayout>
                  <c:x val="-1.0927040332924388E-16"/>
                  <c:y val="-0.205338902235507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DA-471A-852F-67A864A82F53}"/>
                </c:ext>
              </c:extLst>
            </c:dLbl>
            <c:dLbl>
              <c:idx val="6"/>
              <c:layout>
                <c:manualLayout>
                  <c:x val="0"/>
                  <c:y val="-9.0497780547870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DA-471A-852F-67A864A82F53}"/>
                </c:ext>
              </c:extLst>
            </c:dLbl>
            <c:dLbl>
              <c:idx val="7"/>
              <c:layout>
                <c:manualLayout>
                  <c:x val="0"/>
                  <c:y val="-7.84314098081542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DA-471A-852F-67A864A82F53}"/>
                </c:ext>
              </c:extLst>
            </c:dLbl>
            <c:spPr>
              <a:noFill/>
              <a:ln>
                <a:noFill/>
              </a:ln>
              <a:effectLst/>
            </c:spPr>
            <c:txPr>
              <a:bodyPr rot="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Table'!$C$20:$C$28</c:f>
              <c:strCache>
                <c:ptCount val="8"/>
                <c:pt idx="0">
                  <c:v>24-30</c:v>
                </c:pt>
                <c:pt idx="1">
                  <c:v>31-35</c:v>
                </c:pt>
                <c:pt idx="2">
                  <c:v>36-40</c:v>
                </c:pt>
                <c:pt idx="3">
                  <c:v>41-45</c:v>
                </c:pt>
                <c:pt idx="4">
                  <c:v>46-50</c:v>
                </c:pt>
                <c:pt idx="5">
                  <c:v>51-55</c:v>
                </c:pt>
                <c:pt idx="6">
                  <c:v>56-60</c:v>
                </c:pt>
                <c:pt idx="7">
                  <c:v>61-66</c:v>
                </c:pt>
              </c:strCache>
            </c:strRef>
          </c:cat>
          <c:val>
            <c:numRef>
              <c:f>'Pivot Table'!$D$20:$D$28</c:f>
              <c:numCache>
                <c:formatCode>General</c:formatCode>
                <c:ptCount val="8"/>
                <c:pt idx="0">
                  <c:v>46</c:v>
                </c:pt>
                <c:pt idx="1">
                  <c:v>60</c:v>
                </c:pt>
                <c:pt idx="2">
                  <c:v>87</c:v>
                </c:pt>
                <c:pt idx="3">
                  <c:v>123</c:v>
                </c:pt>
                <c:pt idx="4">
                  <c:v>88</c:v>
                </c:pt>
                <c:pt idx="5">
                  <c:v>65</c:v>
                </c:pt>
                <c:pt idx="6">
                  <c:v>19</c:v>
                </c:pt>
                <c:pt idx="7">
                  <c:v>11</c:v>
                </c:pt>
              </c:numCache>
            </c:numRef>
          </c:val>
          <c:extLst>
            <c:ext xmlns:c16="http://schemas.microsoft.com/office/drawing/2014/chart" uri="{C3380CC4-5D6E-409C-BE32-E72D297353CC}">
              <c16:uniqueId val="{00000000-24DA-471A-852F-67A864A82F53}"/>
            </c:ext>
          </c:extLst>
        </c:ser>
        <c:dLbls>
          <c:showLegendKey val="0"/>
          <c:showVal val="1"/>
          <c:showCatName val="0"/>
          <c:showSerName val="0"/>
          <c:showPercent val="0"/>
          <c:showBubbleSize val="0"/>
        </c:dLbls>
        <c:gapWidth val="150"/>
        <c:overlap val="100"/>
        <c:axId val="1330472480"/>
        <c:axId val="135565904"/>
      </c:barChart>
      <c:catAx>
        <c:axId val="13304724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tx1">
                    <a:lumMod val="95000"/>
                    <a:lumOff val="5000"/>
                  </a:schemeClr>
                </a:solidFill>
                <a:latin typeface="+mn-lt"/>
                <a:ea typeface="+mn-ea"/>
                <a:cs typeface="+mn-cs"/>
              </a:defRPr>
            </a:pPr>
            <a:endParaRPr lang="en-US"/>
          </a:p>
        </c:txPr>
        <c:crossAx val="135565904"/>
        <c:crosses val="autoZero"/>
        <c:auto val="1"/>
        <c:lblAlgn val="ctr"/>
        <c:lblOffset val="100"/>
        <c:noMultiLvlLbl val="0"/>
      </c:catAx>
      <c:valAx>
        <c:axId val="135565904"/>
        <c:scaling>
          <c:orientation val="minMax"/>
        </c:scaling>
        <c:delete val="1"/>
        <c:axPos val="l"/>
        <c:numFmt formatCode="General" sourceLinked="1"/>
        <c:majorTickMark val="out"/>
        <c:minorTickMark val="none"/>
        <c:tickLblPos val="nextTo"/>
        <c:crossAx val="1330472480"/>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1">
          <a:shade val="1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lang="en-US" sz="1000" b="0"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Cleaned.xlsx]Pivot Table!PivotTable4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baseline="0">
                <a:solidFill>
                  <a:sysClr val="windowText" lastClr="000000"/>
                </a:solidFill>
              </a:rPr>
              <a:t>Employees by Performance Rating</a:t>
            </a:r>
            <a:endParaRPr lang="en-US" sz="1200" b="1">
              <a:solidFill>
                <a:sysClr val="windowText" lastClr="000000"/>
              </a:solidFill>
            </a:endParaRPr>
          </a:p>
        </c:rich>
      </c:tx>
      <c:layout>
        <c:manualLayout>
          <c:xMode val="edge"/>
          <c:yMode val="edge"/>
          <c:x val="3.4652047127507836E-2"/>
          <c:y val="3.085714841073537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glow>
              <a:schemeClr val="accent1"/>
            </a:glow>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glow>
              <a:schemeClr val="accent1"/>
            </a:glow>
            <a:softEdge rad="0"/>
          </a:effectLst>
          <a:scene3d>
            <a:camera prst="orthographicFront"/>
            <a:lightRig rig="threePt" dir="t"/>
          </a:scene3d>
          <a:sp3d/>
        </c:spPr>
      </c:pivotFmt>
      <c:pivotFmt>
        <c:idx val="9"/>
        <c:spPr>
          <a:solidFill>
            <a:schemeClr val="accent1"/>
          </a:solidFill>
          <a:ln w="19050">
            <a:solidFill>
              <a:schemeClr val="lt1"/>
            </a:solidFill>
          </a:ln>
          <a:effectLst>
            <a:glow>
              <a:schemeClr val="accent1"/>
            </a:glow>
            <a:softEdge rad="0"/>
          </a:effectLst>
          <a:scene3d>
            <a:camera prst="orthographicFront"/>
            <a:lightRig rig="threePt" dir="t"/>
          </a:scene3d>
          <a:sp3d/>
        </c:spPr>
      </c:pivotFmt>
      <c:pivotFmt>
        <c:idx val="10"/>
        <c:spPr>
          <a:solidFill>
            <a:schemeClr val="accent1"/>
          </a:solidFill>
          <a:ln w="19050">
            <a:solidFill>
              <a:schemeClr val="lt1"/>
            </a:solidFill>
          </a:ln>
          <a:effectLst>
            <a:glow>
              <a:schemeClr val="accent1"/>
            </a:glow>
            <a:softEdge rad="0"/>
          </a:effectLst>
          <a:scene3d>
            <a:camera prst="orthographicFront"/>
            <a:lightRig rig="threePt" dir="t"/>
          </a:scene3d>
          <a:sp3d/>
        </c:spPr>
      </c:pivotFmt>
      <c:pivotFmt>
        <c:idx val="11"/>
        <c:spPr>
          <a:solidFill>
            <a:schemeClr val="accent1"/>
          </a:solidFill>
          <a:ln w="19050">
            <a:solidFill>
              <a:schemeClr val="lt1"/>
            </a:solidFill>
          </a:ln>
          <a:effectLst>
            <a:glow>
              <a:schemeClr val="accent1"/>
            </a:glow>
            <a:softEdge rad="0"/>
          </a:effectLst>
          <a:scene3d>
            <a:camera prst="orthographicFront"/>
            <a:lightRig rig="threePt" dir="t"/>
          </a:scene3d>
          <a:sp3d/>
        </c:spPr>
      </c:pivotFmt>
      <c:pivotFmt>
        <c:idx val="12"/>
        <c:spPr>
          <a:solidFill>
            <a:schemeClr val="accent1"/>
          </a:solidFill>
          <a:ln w="19050">
            <a:solidFill>
              <a:schemeClr val="lt1"/>
            </a:solidFill>
          </a:ln>
          <a:effectLst>
            <a:glow>
              <a:schemeClr val="accent1"/>
            </a:glow>
            <a:softEdge rad="0"/>
          </a:effectLst>
          <a:scene3d>
            <a:camera prst="orthographicFront"/>
            <a:lightRig rig="threePt" dir="t"/>
          </a:scene3d>
          <a:sp3d/>
        </c:spPr>
      </c:pivotFmt>
    </c:pivotFmts>
    <c:plotArea>
      <c:layout>
        <c:manualLayout>
          <c:layoutTarget val="inner"/>
          <c:xMode val="edge"/>
          <c:yMode val="edge"/>
          <c:x val="0.21824909306386098"/>
          <c:y val="0.18874418695058484"/>
          <c:w val="0.44216235287731709"/>
          <c:h val="0.712512938135062"/>
        </c:manualLayout>
      </c:layout>
      <c:pieChart>
        <c:varyColors val="1"/>
        <c:ser>
          <c:idx val="0"/>
          <c:order val="0"/>
          <c:tx>
            <c:strRef>
              <c:f>'Pivot Table'!$K$3</c:f>
              <c:strCache>
                <c:ptCount val="1"/>
                <c:pt idx="0">
                  <c:v>Total</c:v>
                </c:pt>
              </c:strCache>
            </c:strRef>
          </c:tx>
          <c:spPr>
            <a:effectLst>
              <a:glow>
                <a:schemeClr val="accent1"/>
              </a:glow>
              <a:softEdge rad="0"/>
            </a:effectLst>
            <a:scene3d>
              <a:camera prst="orthographicFront"/>
              <a:lightRig rig="threePt" dir="t"/>
            </a:scene3d>
            <a:sp3d/>
          </c:spPr>
          <c:dPt>
            <c:idx val="0"/>
            <c:bubble3D val="0"/>
            <c:spPr>
              <a:solidFill>
                <a:schemeClr val="accent1"/>
              </a:solidFill>
              <a:ln w="19050">
                <a:solidFill>
                  <a:schemeClr val="lt1"/>
                </a:solidFill>
              </a:ln>
              <a:effectLst>
                <a:glow>
                  <a:schemeClr val="accent1"/>
                </a:glow>
                <a:softEdge rad="0"/>
              </a:effectLst>
              <a:scene3d>
                <a:camera prst="orthographicFront"/>
                <a:lightRig rig="threePt" dir="t"/>
              </a:scene3d>
              <a:sp3d/>
            </c:spPr>
            <c:extLst>
              <c:ext xmlns:c16="http://schemas.microsoft.com/office/drawing/2014/chart" uri="{C3380CC4-5D6E-409C-BE32-E72D297353CC}">
                <c16:uniqueId val="{00000001-3ADD-452C-A5EF-D7A9DF04A48D}"/>
              </c:ext>
            </c:extLst>
          </c:dPt>
          <c:dPt>
            <c:idx val="1"/>
            <c:bubble3D val="0"/>
            <c:spPr>
              <a:solidFill>
                <a:schemeClr val="accent2"/>
              </a:solidFill>
              <a:ln w="19050">
                <a:solidFill>
                  <a:schemeClr val="lt1"/>
                </a:solidFill>
              </a:ln>
              <a:effectLst>
                <a:glow>
                  <a:schemeClr val="accent1"/>
                </a:glow>
                <a:softEdge rad="0"/>
              </a:effectLst>
              <a:scene3d>
                <a:camera prst="orthographicFront"/>
                <a:lightRig rig="threePt" dir="t"/>
              </a:scene3d>
              <a:sp3d/>
            </c:spPr>
            <c:extLst>
              <c:ext xmlns:c16="http://schemas.microsoft.com/office/drawing/2014/chart" uri="{C3380CC4-5D6E-409C-BE32-E72D297353CC}">
                <c16:uniqueId val="{00000003-3ADD-452C-A5EF-D7A9DF04A48D}"/>
              </c:ext>
            </c:extLst>
          </c:dPt>
          <c:dPt>
            <c:idx val="2"/>
            <c:bubble3D val="0"/>
            <c:spPr>
              <a:solidFill>
                <a:schemeClr val="accent3"/>
              </a:solidFill>
              <a:ln w="19050">
                <a:solidFill>
                  <a:schemeClr val="lt1"/>
                </a:solidFill>
              </a:ln>
              <a:effectLst>
                <a:glow>
                  <a:schemeClr val="accent1"/>
                </a:glow>
                <a:softEdge rad="0"/>
              </a:effectLst>
              <a:scene3d>
                <a:camera prst="orthographicFront"/>
                <a:lightRig rig="threePt" dir="t"/>
              </a:scene3d>
              <a:sp3d/>
            </c:spPr>
            <c:extLst>
              <c:ext xmlns:c16="http://schemas.microsoft.com/office/drawing/2014/chart" uri="{C3380CC4-5D6E-409C-BE32-E72D297353CC}">
                <c16:uniqueId val="{00000005-3ADD-452C-A5EF-D7A9DF04A48D}"/>
              </c:ext>
            </c:extLst>
          </c:dPt>
          <c:dPt>
            <c:idx val="3"/>
            <c:bubble3D val="0"/>
            <c:spPr>
              <a:solidFill>
                <a:schemeClr val="accent4"/>
              </a:solidFill>
              <a:ln w="19050">
                <a:solidFill>
                  <a:schemeClr val="lt1"/>
                </a:solidFill>
              </a:ln>
              <a:effectLst>
                <a:glow>
                  <a:schemeClr val="accent1"/>
                </a:glow>
                <a:softEdge rad="0"/>
              </a:effectLst>
              <a:scene3d>
                <a:camera prst="orthographicFront"/>
                <a:lightRig rig="threePt" dir="t"/>
              </a:scene3d>
              <a:sp3d/>
            </c:spPr>
            <c:extLst>
              <c:ext xmlns:c16="http://schemas.microsoft.com/office/drawing/2014/chart" uri="{C3380CC4-5D6E-409C-BE32-E72D297353CC}">
                <c16:uniqueId val="{00000007-3ADD-452C-A5EF-D7A9DF04A48D}"/>
              </c:ext>
            </c:extLst>
          </c:dPt>
          <c:dPt>
            <c:idx val="4"/>
            <c:bubble3D val="0"/>
            <c:spPr>
              <a:solidFill>
                <a:schemeClr val="accent5"/>
              </a:solidFill>
              <a:ln w="19050">
                <a:solidFill>
                  <a:schemeClr val="lt1"/>
                </a:solidFill>
              </a:ln>
              <a:effectLst>
                <a:glow>
                  <a:schemeClr val="accent1"/>
                </a:glow>
                <a:softEdge rad="0"/>
              </a:effectLst>
              <a:scene3d>
                <a:camera prst="orthographicFront"/>
                <a:lightRig rig="threePt" dir="t"/>
              </a:scene3d>
              <a:sp3d/>
            </c:spPr>
            <c:extLst>
              <c:ext xmlns:c16="http://schemas.microsoft.com/office/drawing/2014/chart" uri="{C3380CC4-5D6E-409C-BE32-E72D297353CC}">
                <c16:uniqueId val="{00000009-3ADD-452C-A5EF-D7A9DF04A48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Table'!$J$4:$J$9</c:f>
              <c:strCache>
                <c:ptCount val="5"/>
                <c:pt idx="0">
                  <c:v>1</c:v>
                </c:pt>
                <c:pt idx="1">
                  <c:v>2</c:v>
                </c:pt>
                <c:pt idx="2">
                  <c:v>3</c:v>
                </c:pt>
                <c:pt idx="3">
                  <c:v>4</c:v>
                </c:pt>
                <c:pt idx="4">
                  <c:v>5</c:v>
                </c:pt>
              </c:strCache>
            </c:strRef>
          </c:cat>
          <c:val>
            <c:numRef>
              <c:f>'Pivot Table'!$K$4:$K$9</c:f>
              <c:numCache>
                <c:formatCode>General</c:formatCode>
                <c:ptCount val="5"/>
                <c:pt idx="0">
                  <c:v>25</c:v>
                </c:pt>
                <c:pt idx="1">
                  <c:v>45</c:v>
                </c:pt>
                <c:pt idx="2">
                  <c:v>202</c:v>
                </c:pt>
                <c:pt idx="3">
                  <c:v>158</c:v>
                </c:pt>
                <c:pt idx="4">
                  <c:v>69</c:v>
                </c:pt>
              </c:numCache>
            </c:numRef>
          </c:val>
          <c:extLst>
            <c:ext xmlns:c16="http://schemas.microsoft.com/office/drawing/2014/chart" uri="{C3380CC4-5D6E-409C-BE32-E72D297353CC}">
              <c16:uniqueId val="{0000000A-3ADD-452C-A5EF-D7A9DF04A4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6041747710419736"/>
          <c:y val="0.15885697347257116"/>
          <c:w val="0.11660379179219024"/>
          <c:h val="0.66883233634777706"/>
        </c:manualLayout>
      </c:layout>
      <c:overlay val="0"/>
      <c:spPr>
        <a:noFill/>
        <a:ln>
          <a:noFill/>
        </a:ln>
        <a:effectLst/>
      </c:spPr>
      <c:txPr>
        <a:bodyPr rot="0" spcFirstLastPara="1" vertOverflow="ellipsis" vert="horz" wrap="square" anchor="ctr" anchorCtr="1"/>
        <a:lstStyle/>
        <a:p>
          <a:pPr>
            <a:defRPr sz="14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1">
          <a:shade val="1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Cleaned.xlsx]Pivot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rPr>
              <a:t>Employees</a:t>
            </a:r>
            <a:r>
              <a:rPr lang="en-US" sz="1200" b="1" baseline="0">
                <a:solidFill>
                  <a:schemeClr val="tx1"/>
                </a:solidFill>
              </a:rPr>
              <a:t> by Salary</a:t>
            </a:r>
            <a:endParaRPr lang="en-US" sz="1200" b="1">
              <a:solidFill>
                <a:schemeClr val="tx1"/>
              </a:solidFill>
            </a:endParaRPr>
          </a:p>
        </c:rich>
      </c:tx>
      <c:layout>
        <c:manualLayout>
          <c:xMode val="edge"/>
          <c:yMode val="edge"/>
          <c:x val="1.7420195341190894E-2"/>
          <c:y val="4.4470612128721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B6915"/>
            </a:solidFill>
            <a:round/>
          </a:ln>
          <a:effectLst/>
        </c:spPr>
        <c:marker>
          <c:symbol val="circle"/>
          <c:size val="6"/>
          <c:spPr>
            <a:solidFill>
              <a:srgbClr val="1B691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1B6915"/>
            </a:solidFill>
            <a:round/>
          </a:ln>
          <a:effectLst/>
        </c:spPr>
        <c:marker>
          <c:symbol val="circle"/>
          <c:size val="6"/>
          <c:spPr>
            <a:solidFill>
              <a:srgbClr val="1B6915"/>
            </a:solidFill>
            <a:ln w="9525">
              <a:solidFill>
                <a:schemeClr val="accent1"/>
              </a:solidFill>
            </a:ln>
            <a:effectLst/>
          </c:spPr>
        </c:marker>
      </c:pivotFmt>
      <c:pivotFmt>
        <c:idx val="4"/>
        <c:spPr>
          <a:ln w="28575" cap="rnd">
            <a:solidFill>
              <a:srgbClr val="1B6915"/>
            </a:solidFill>
            <a:round/>
          </a:ln>
          <a:effectLst/>
        </c:spPr>
        <c:marker>
          <c:symbol val="circle"/>
          <c:size val="6"/>
          <c:spPr>
            <a:solidFill>
              <a:srgbClr val="B7FF8F"/>
            </a:solidFill>
            <a:ln w="9525">
              <a:solidFill>
                <a:schemeClr val="accent1"/>
              </a:solidFill>
            </a:ln>
            <a:effectLst/>
          </c:spPr>
        </c:marker>
      </c:pivotFmt>
    </c:pivotFmts>
    <c:plotArea>
      <c:layout/>
      <c:lineChart>
        <c:grouping val="stacked"/>
        <c:varyColors val="0"/>
        <c:ser>
          <c:idx val="0"/>
          <c:order val="0"/>
          <c:tx>
            <c:strRef>
              <c:f>'Pivot Table'!$G$19</c:f>
              <c:strCache>
                <c:ptCount val="1"/>
                <c:pt idx="0">
                  <c:v>Total</c:v>
                </c:pt>
              </c:strCache>
            </c:strRef>
          </c:tx>
          <c:spPr>
            <a:ln w="28575" cap="rnd">
              <a:solidFill>
                <a:srgbClr val="1B6915"/>
              </a:solidFill>
              <a:round/>
            </a:ln>
            <a:effectLst/>
          </c:spPr>
          <c:marker>
            <c:symbol val="circle"/>
            <c:size val="6"/>
            <c:spPr>
              <a:solidFill>
                <a:srgbClr val="1B6915"/>
              </a:solidFill>
              <a:ln w="9525">
                <a:solidFill>
                  <a:schemeClr val="accent1"/>
                </a:solidFill>
              </a:ln>
              <a:effectLst/>
            </c:spPr>
          </c:marker>
          <c:dPt>
            <c:idx val="2"/>
            <c:marker>
              <c:symbol val="circle"/>
              <c:size val="6"/>
              <c:spPr>
                <a:solidFill>
                  <a:srgbClr val="B7FF8F"/>
                </a:solidFill>
                <a:ln w="9525">
                  <a:solidFill>
                    <a:schemeClr val="accent1"/>
                  </a:solidFill>
                </a:ln>
                <a:effectLst/>
              </c:spPr>
            </c:marker>
            <c:bubble3D val="0"/>
            <c:spPr>
              <a:ln w="28575" cap="rnd">
                <a:solidFill>
                  <a:srgbClr val="1B6915"/>
                </a:solidFill>
                <a:round/>
              </a:ln>
              <a:effectLst/>
            </c:spPr>
            <c:extLst>
              <c:ext xmlns:c16="http://schemas.microsoft.com/office/drawing/2014/chart" uri="{C3380CC4-5D6E-409C-BE32-E72D297353CC}">
                <c16:uniqueId val="{00000001-3630-4145-9E52-6B081A7E995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Table'!$F$20:$F$25</c:f>
              <c:strCache>
                <c:ptCount val="5"/>
                <c:pt idx="0">
                  <c:v>50K - 100K</c:v>
                </c:pt>
                <c:pt idx="1">
                  <c:v>100K - 150K</c:v>
                </c:pt>
                <c:pt idx="2">
                  <c:v>30K - 50K</c:v>
                </c:pt>
                <c:pt idx="3">
                  <c:v>150K - 200K</c:v>
                </c:pt>
                <c:pt idx="4">
                  <c:v>Above 200K</c:v>
                </c:pt>
              </c:strCache>
            </c:strRef>
          </c:cat>
          <c:val>
            <c:numRef>
              <c:f>'Pivot Table'!$G$20:$G$25</c:f>
              <c:numCache>
                <c:formatCode>General</c:formatCode>
                <c:ptCount val="5"/>
                <c:pt idx="0">
                  <c:v>334</c:v>
                </c:pt>
                <c:pt idx="1">
                  <c:v>83</c:v>
                </c:pt>
                <c:pt idx="2">
                  <c:v>58</c:v>
                </c:pt>
                <c:pt idx="3">
                  <c:v>18</c:v>
                </c:pt>
                <c:pt idx="4">
                  <c:v>6</c:v>
                </c:pt>
              </c:numCache>
            </c:numRef>
          </c:val>
          <c:smooth val="1"/>
          <c:extLst>
            <c:ext xmlns:c16="http://schemas.microsoft.com/office/drawing/2014/chart" uri="{C3380CC4-5D6E-409C-BE32-E72D297353CC}">
              <c16:uniqueId val="{00000000-EA55-40FA-84C0-A9A6665CADC6}"/>
            </c:ext>
          </c:extLst>
        </c:ser>
        <c:dLbls>
          <c:dLblPos val="t"/>
          <c:showLegendKey val="0"/>
          <c:showVal val="1"/>
          <c:showCatName val="0"/>
          <c:showSerName val="0"/>
          <c:showPercent val="0"/>
          <c:showBubbleSize val="0"/>
        </c:dLbls>
        <c:marker val="1"/>
        <c:smooth val="0"/>
        <c:axId val="370631823"/>
        <c:axId val="1334347920"/>
      </c:lineChart>
      <c:catAx>
        <c:axId val="37063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1334347920"/>
        <c:crosses val="autoZero"/>
        <c:auto val="1"/>
        <c:lblAlgn val="ctr"/>
        <c:lblOffset val="100"/>
        <c:noMultiLvlLbl val="0"/>
      </c:catAx>
      <c:valAx>
        <c:axId val="13343479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06318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rgbClr val="1B6915"/>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Cleaned.xlsx]Pivot Table!PivotTable5</c:name>
    <c:fmtId val="3"/>
  </c:pivotSource>
  <c:chart>
    <c:title>
      <c:tx>
        <c:rich>
          <a:bodyPr rot="0" spcFirstLastPara="1" vertOverflow="ellipsis" vert="horz" wrap="square" anchor="ctr" anchorCtr="1"/>
          <a:lstStyle/>
          <a:p>
            <a:pPr algn="l">
              <a:defRPr sz="1400" b="0" i="0" u="none" strike="noStrike" kern="1200" spc="0" baseline="0">
                <a:solidFill>
                  <a:sysClr val="windowText" lastClr="000000"/>
                </a:solidFill>
                <a:latin typeface="+mn-lt"/>
                <a:ea typeface="+mn-ea"/>
                <a:cs typeface="+mn-cs"/>
              </a:defRPr>
            </a:pPr>
            <a:r>
              <a:rPr lang="en-US" sz="1200" b="1">
                <a:solidFill>
                  <a:sysClr val="windowText" lastClr="000000"/>
                </a:solidFill>
              </a:rPr>
              <a:t>Employees</a:t>
            </a:r>
            <a:r>
              <a:rPr lang="en-US" sz="1200" b="1" baseline="0">
                <a:solidFill>
                  <a:sysClr val="windowText" lastClr="000000"/>
                </a:solidFill>
              </a:rPr>
              <a:t> by Location</a:t>
            </a:r>
            <a:endParaRPr lang="en-US" sz="1200" b="1">
              <a:solidFill>
                <a:sysClr val="windowText" lastClr="000000"/>
              </a:solidFill>
            </a:endParaRPr>
          </a:p>
        </c:rich>
      </c:tx>
      <c:layout>
        <c:manualLayout>
          <c:xMode val="edge"/>
          <c:yMode val="edge"/>
          <c:x val="2.816386542612186E-2"/>
          <c:y val="2.914744541821174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3A4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2188557104487498"/>
          <c:y val="0.15755929360405496"/>
          <c:w val="0.87811442895512504"/>
          <c:h val="0.79980473518697548"/>
        </c:manualLayout>
      </c:layout>
      <c:barChart>
        <c:barDir val="bar"/>
        <c:grouping val="clustered"/>
        <c:varyColors val="0"/>
        <c:ser>
          <c:idx val="0"/>
          <c:order val="0"/>
          <c:tx>
            <c:strRef>
              <c:f>'Pivot Table'!$K$12</c:f>
              <c:strCache>
                <c:ptCount val="1"/>
                <c:pt idx="0">
                  <c:v>Total</c:v>
                </c:pt>
              </c:strCache>
            </c:strRef>
          </c:tx>
          <c:spPr>
            <a:solidFill>
              <a:srgbClr val="23A4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 Table'!$J$13:$J$27</c:f>
              <c:strCache>
                <c:ptCount val="14"/>
                <c:pt idx="0">
                  <c:v>Atlanta</c:v>
                </c:pt>
                <c:pt idx="1">
                  <c:v>Austin</c:v>
                </c:pt>
                <c:pt idx="2">
                  <c:v>Boston</c:v>
                </c:pt>
                <c:pt idx="3">
                  <c:v>Chicago</c:v>
                </c:pt>
                <c:pt idx="4">
                  <c:v>Dallas</c:v>
                </c:pt>
                <c:pt idx="5">
                  <c:v>Denver</c:v>
                </c:pt>
                <c:pt idx="6">
                  <c:v>Miami</c:v>
                </c:pt>
                <c:pt idx="7">
                  <c:v>Minneapolis</c:v>
                </c:pt>
                <c:pt idx="8">
                  <c:v>Nashville</c:v>
                </c:pt>
                <c:pt idx="9">
                  <c:v>New York</c:v>
                </c:pt>
                <c:pt idx="10">
                  <c:v>Phoenix</c:v>
                </c:pt>
                <c:pt idx="11">
                  <c:v>Portland</c:v>
                </c:pt>
                <c:pt idx="12">
                  <c:v>San Diego</c:v>
                </c:pt>
                <c:pt idx="13">
                  <c:v>Seattle</c:v>
                </c:pt>
              </c:strCache>
            </c:strRef>
          </c:cat>
          <c:val>
            <c:numRef>
              <c:f>'Pivot Table'!$K$13:$K$27</c:f>
              <c:numCache>
                <c:formatCode>General</c:formatCode>
                <c:ptCount val="14"/>
                <c:pt idx="0">
                  <c:v>30</c:v>
                </c:pt>
                <c:pt idx="1">
                  <c:v>40</c:v>
                </c:pt>
                <c:pt idx="2">
                  <c:v>33</c:v>
                </c:pt>
                <c:pt idx="3">
                  <c:v>26</c:v>
                </c:pt>
                <c:pt idx="4">
                  <c:v>43</c:v>
                </c:pt>
                <c:pt idx="5">
                  <c:v>35</c:v>
                </c:pt>
                <c:pt idx="6">
                  <c:v>28</c:v>
                </c:pt>
                <c:pt idx="7">
                  <c:v>44</c:v>
                </c:pt>
                <c:pt idx="8">
                  <c:v>41</c:v>
                </c:pt>
                <c:pt idx="9">
                  <c:v>34</c:v>
                </c:pt>
                <c:pt idx="10">
                  <c:v>34</c:v>
                </c:pt>
                <c:pt idx="11">
                  <c:v>43</c:v>
                </c:pt>
                <c:pt idx="12">
                  <c:v>33</c:v>
                </c:pt>
                <c:pt idx="13">
                  <c:v>35</c:v>
                </c:pt>
              </c:numCache>
            </c:numRef>
          </c:val>
          <c:extLst>
            <c:ext xmlns:c16="http://schemas.microsoft.com/office/drawing/2014/chart" uri="{C3380CC4-5D6E-409C-BE32-E72D297353CC}">
              <c16:uniqueId val="{00000000-A5C4-49CE-8B3A-4FF77F1B4E3B}"/>
            </c:ext>
          </c:extLst>
        </c:ser>
        <c:dLbls>
          <c:dLblPos val="outEnd"/>
          <c:showLegendKey val="0"/>
          <c:showVal val="1"/>
          <c:showCatName val="0"/>
          <c:showSerName val="0"/>
          <c:showPercent val="0"/>
          <c:showBubbleSize val="0"/>
        </c:dLbls>
        <c:gapWidth val="150"/>
        <c:axId val="752951983"/>
        <c:axId val="135633584"/>
      </c:barChart>
      <c:catAx>
        <c:axId val="75295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35633584"/>
        <c:crosses val="autoZero"/>
        <c:auto val="1"/>
        <c:lblAlgn val="ctr"/>
        <c:lblOffset val="100"/>
        <c:noMultiLvlLbl val="0"/>
      </c:catAx>
      <c:valAx>
        <c:axId val="135633584"/>
        <c:scaling>
          <c:orientation val="minMax"/>
        </c:scaling>
        <c:delete val="1"/>
        <c:axPos val="b"/>
        <c:numFmt formatCode="General" sourceLinked="1"/>
        <c:majorTickMark val="none"/>
        <c:minorTickMark val="none"/>
        <c:tickLblPos val="nextTo"/>
        <c:crossAx val="75295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chart" Target="../charts/chart3.xml"/><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294409</xdr:colOff>
      <xdr:row>0</xdr:row>
      <xdr:rowOff>162491</xdr:rowOff>
    </xdr:from>
    <xdr:to>
      <xdr:col>22</xdr:col>
      <xdr:colOff>277946</xdr:colOff>
      <xdr:row>38</xdr:row>
      <xdr:rowOff>129887</xdr:rowOff>
    </xdr:to>
    <xdr:sp macro="" textlink="">
      <xdr:nvSpPr>
        <xdr:cNvPr id="2" name="Rectangle: Rounded Corners 1">
          <a:extLst>
            <a:ext uri="{FF2B5EF4-FFF2-40B4-BE49-F238E27FC236}">
              <a16:creationId xmlns:a16="http://schemas.microsoft.com/office/drawing/2014/main" id="{7A806169-7AD3-533C-0FF4-B3968B565B45}"/>
            </a:ext>
          </a:extLst>
        </xdr:cNvPr>
        <xdr:cNvSpPr/>
      </xdr:nvSpPr>
      <xdr:spPr>
        <a:xfrm>
          <a:off x="294409" y="162491"/>
          <a:ext cx="13475112" cy="7404725"/>
        </a:xfrm>
        <a:prstGeom prst="roundRect">
          <a:avLst>
            <a:gd name="adj" fmla="val 513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294409</xdr:colOff>
      <xdr:row>0</xdr:row>
      <xdr:rowOff>162491</xdr:rowOff>
    </xdr:from>
    <xdr:to>
      <xdr:col>22</xdr:col>
      <xdr:colOff>245692</xdr:colOff>
      <xdr:row>3</xdr:row>
      <xdr:rowOff>99807</xdr:rowOff>
    </xdr:to>
    <xdr:grpSp>
      <xdr:nvGrpSpPr>
        <xdr:cNvPr id="19" name="Group 18">
          <a:extLst>
            <a:ext uri="{FF2B5EF4-FFF2-40B4-BE49-F238E27FC236}">
              <a16:creationId xmlns:a16="http://schemas.microsoft.com/office/drawing/2014/main" id="{A3C4B354-7E7C-35C1-7270-8821EE327BA5}"/>
            </a:ext>
          </a:extLst>
        </xdr:cNvPr>
        <xdr:cNvGrpSpPr/>
      </xdr:nvGrpSpPr>
      <xdr:grpSpPr>
        <a:xfrm>
          <a:off x="294409" y="162491"/>
          <a:ext cx="13442858" cy="524474"/>
          <a:chOff x="3743806" y="162491"/>
          <a:chExt cx="13335000" cy="424667"/>
        </a:xfrm>
      </xdr:grpSpPr>
      <xdr:sp macro="" textlink="">
        <xdr:nvSpPr>
          <xdr:cNvPr id="3" name="TextBox 2">
            <a:extLst>
              <a:ext uri="{FF2B5EF4-FFF2-40B4-BE49-F238E27FC236}">
                <a16:creationId xmlns:a16="http://schemas.microsoft.com/office/drawing/2014/main" id="{165B986E-9E69-791A-C565-364C55DC9984}"/>
              </a:ext>
            </a:extLst>
          </xdr:cNvPr>
          <xdr:cNvSpPr txBox="1"/>
        </xdr:nvSpPr>
        <xdr:spPr>
          <a:xfrm>
            <a:off x="3743806" y="162491"/>
            <a:ext cx="13335000" cy="404487"/>
          </a:xfrm>
          <a:prstGeom prst="round2SameRect">
            <a:avLst>
              <a:gd name="adj1" fmla="val 50000"/>
              <a:gd name="adj2" fmla="val 0"/>
            </a:avLst>
          </a:prstGeom>
          <a:solidFill>
            <a:schemeClr val="accent6">
              <a:lumMod val="20000"/>
              <a:lumOff val="8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2400">
                <a:latin typeface="Algerian" panose="04020705040A02060702" pitchFamily="82" charset="0"/>
              </a:rPr>
              <a:t>                     hr analysis</a:t>
            </a:r>
            <a:r>
              <a:rPr lang="en-IN" sz="2400" baseline="0">
                <a:latin typeface="Algerian" panose="04020705040A02060702" pitchFamily="82" charset="0"/>
              </a:rPr>
              <a:t> dashboard</a:t>
            </a:r>
            <a:endParaRPr lang="en-IN" sz="2400">
              <a:latin typeface="Algerian" panose="04020705040A02060702" pitchFamily="82" charset="0"/>
            </a:endParaRPr>
          </a:p>
        </xdr:txBody>
      </xdr:sp>
      <xdr:pic>
        <xdr:nvPicPr>
          <xdr:cNvPr id="5" name="Graphic 4" descr="Venn diagram with solid fill">
            <a:extLst>
              <a:ext uri="{FF2B5EF4-FFF2-40B4-BE49-F238E27FC236}">
                <a16:creationId xmlns:a16="http://schemas.microsoft.com/office/drawing/2014/main" id="{C7B4B5FF-EAE5-3C36-4447-F6F2948E99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09268" y="162491"/>
            <a:ext cx="695324" cy="424667"/>
          </a:xfrm>
          <a:prstGeom prst="rect">
            <a:avLst/>
          </a:prstGeom>
        </xdr:spPr>
      </xdr:pic>
    </xdr:grpSp>
    <xdr:clientData/>
  </xdr:twoCellAnchor>
  <xdr:twoCellAnchor>
    <xdr:from>
      <xdr:col>7</xdr:col>
      <xdr:colOff>600205</xdr:colOff>
      <xdr:row>4</xdr:row>
      <xdr:rowOff>51512</xdr:rowOff>
    </xdr:from>
    <xdr:to>
      <xdr:col>11</xdr:col>
      <xdr:colOff>301260</xdr:colOff>
      <xdr:row>8</xdr:row>
      <xdr:rowOff>88585</xdr:rowOff>
    </xdr:to>
    <xdr:grpSp>
      <xdr:nvGrpSpPr>
        <xdr:cNvPr id="14" name="Group 13">
          <a:extLst>
            <a:ext uri="{FF2B5EF4-FFF2-40B4-BE49-F238E27FC236}">
              <a16:creationId xmlns:a16="http://schemas.microsoft.com/office/drawing/2014/main" id="{0E89AF95-7463-0F7A-9CAC-29E1C394126C}"/>
            </a:ext>
          </a:extLst>
        </xdr:cNvPr>
        <xdr:cNvGrpSpPr/>
      </xdr:nvGrpSpPr>
      <xdr:grpSpPr>
        <a:xfrm>
          <a:off x="4892979" y="834389"/>
          <a:ext cx="2154069" cy="819949"/>
          <a:chOff x="2600325" y="895351"/>
          <a:chExt cx="1866900" cy="771524"/>
        </a:xfrm>
        <a:solidFill>
          <a:schemeClr val="accent6">
            <a:lumMod val="20000"/>
            <a:lumOff val="80000"/>
          </a:schemeClr>
        </a:solidFill>
      </xdr:grpSpPr>
      <xdr:sp macro="" textlink="">
        <xdr:nvSpPr>
          <xdr:cNvPr id="8" name="Rectangle: Rounded Corners 7">
            <a:extLst>
              <a:ext uri="{FF2B5EF4-FFF2-40B4-BE49-F238E27FC236}">
                <a16:creationId xmlns:a16="http://schemas.microsoft.com/office/drawing/2014/main" id="{801A3026-D3E5-205C-B239-4023A205DC5A}"/>
              </a:ext>
            </a:extLst>
          </xdr:cNvPr>
          <xdr:cNvSpPr/>
        </xdr:nvSpPr>
        <xdr:spPr>
          <a:xfrm>
            <a:off x="2609849" y="895351"/>
            <a:ext cx="1857376" cy="771524"/>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B6B3BB0C-4C28-D129-2E33-CBDBA8C26A9C}"/>
              </a:ext>
            </a:extLst>
          </xdr:cNvPr>
          <xdr:cNvSpPr txBox="1"/>
        </xdr:nvSpPr>
        <xdr:spPr>
          <a:xfrm>
            <a:off x="3224800" y="958846"/>
            <a:ext cx="1129340" cy="34049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 </a:t>
            </a:r>
            <a:r>
              <a:rPr lang="en-US" sz="1200" b="1">
                <a:latin typeface="+mj-lt"/>
              </a:rPr>
              <a:t>Total Employees</a:t>
            </a:r>
          </a:p>
        </xdr:txBody>
      </xdr:sp>
      <xdr:sp macro="" textlink="">
        <xdr:nvSpPr>
          <xdr:cNvPr id="9" name="Rectangle: Rounded Corners 8">
            <a:extLst>
              <a:ext uri="{FF2B5EF4-FFF2-40B4-BE49-F238E27FC236}">
                <a16:creationId xmlns:a16="http://schemas.microsoft.com/office/drawing/2014/main" id="{E09DC746-B9DA-CFEB-F8FF-DA238B57EFBA}"/>
              </a:ext>
            </a:extLst>
          </xdr:cNvPr>
          <xdr:cNvSpPr/>
        </xdr:nvSpPr>
        <xdr:spPr>
          <a:xfrm>
            <a:off x="2600325" y="904875"/>
            <a:ext cx="600350" cy="750182"/>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A$4">
        <xdr:nvSpPr>
          <xdr:cNvPr id="10" name="TextBox 9">
            <a:extLst>
              <a:ext uri="{FF2B5EF4-FFF2-40B4-BE49-F238E27FC236}">
                <a16:creationId xmlns:a16="http://schemas.microsoft.com/office/drawing/2014/main" id="{77140933-FC7A-14B4-7E43-9D76BF2F1433}"/>
              </a:ext>
            </a:extLst>
          </xdr:cNvPr>
          <xdr:cNvSpPr txBox="1"/>
        </xdr:nvSpPr>
        <xdr:spPr>
          <a:xfrm>
            <a:off x="3495675" y="1276350"/>
            <a:ext cx="57150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6E0DD2E-A89B-4967-B1EA-2286FFFC5F07}" type="TxLink">
              <a:rPr lang="en-US" sz="1800" b="1" i="0" u="none" strike="noStrike">
                <a:solidFill>
                  <a:srgbClr val="000000"/>
                </a:solidFill>
                <a:latin typeface="Calibri"/>
                <a:ea typeface="Calibri"/>
                <a:cs typeface="Calibri"/>
              </a:rPr>
              <a:pPr/>
              <a:t>499</a:t>
            </a:fld>
            <a:endParaRPr lang="en-IN" sz="1800" b="1"/>
          </a:p>
        </xdr:txBody>
      </xdr:sp>
    </xdr:grpSp>
    <xdr:clientData/>
  </xdr:twoCellAnchor>
  <xdr:twoCellAnchor>
    <xdr:from>
      <xdr:col>12</xdr:col>
      <xdr:colOff>294233</xdr:colOff>
      <xdr:row>4</xdr:row>
      <xdr:rowOff>37331</xdr:rowOff>
    </xdr:from>
    <xdr:to>
      <xdr:col>17</xdr:col>
      <xdr:colOff>0</xdr:colOff>
      <xdr:row>8</xdr:row>
      <xdr:rowOff>88585</xdr:rowOff>
    </xdr:to>
    <xdr:grpSp>
      <xdr:nvGrpSpPr>
        <xdr:cNvPr id="48" name="Group 47">
          <a:extLst>
            <a:ext uri="{FF2B5EF4-FFF2-40B4-BE49-F238E27FC236}">
              <a16:creationId xmlns:a16="http://schemas.microsoft.com/office/drawing/2014/main" id="{C96D2530-6545-E1FA-8738-7B69E75E44C1}"/>
            </a:ext>
          </a:extLst>
        </xdr:cNvPr>
        <xdr:cNvGrpSpPr/>
      </xdr:nvGrpSpPr>
      <xdr:grpSpPr>
        <a:xfrm>
          <a:off x="7653274" y="820208"/>
          <a:ext cx="2772034" cy="834130"/>
          <a:chOff x="2362200" y="895351"/>
          <a:chExt cx="2756077" cy="771524"/>
        </a:xfrm>
        <a:solidFill>
          <a:schemeClr val="accent6">
            <a:lumMod val="20000"/>
            <a:lumOff val="80000"/>
          </a:schemeClr>
        </a:solidFill>
      </xdr:grpSpPr>
      <xdr:sp macro="" textlink="">
        <xdr:nvSpPr>
          <xdr:cNvPr id="49" name="Rectangle: Rounded Corners 48">
            <a:extLst>
              <a:ext uri="{FF2B5EF4-FFF2-40B4-BE49-F238E27FC236}">
                <a16:creationId xmlns:a16="http://schemas.microsoft.com/office/drawing/2014/main" id="{E7A28882-A1E4-9096-B41C-779703A8DBEE}"/>
              </a:ext>
            </a:extLst>
          </xdr:cNvPr>
          <xdr:cNvSpPr/>
        </xdr:nvSpPr>
        <xdr:spPr>
          <a:xfrm>
            <a:off x="2362200" y="895351"/>
            <a:ext cx="2756077" cy="771524"/>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9E3AAB8A-026F-3C68-9FDB-E5B7A6E8E3F3}"/>
              </a:ext>
            </a:extLst>
          </xdr:cNvPr>
          <xdr:cNvSpPr txBox="1"/>
        </xdr:nvSpPr>
        <xdr:spPr>
          <a:xfrm>
            <a:off x="3004641" y="961837"/>
            <a:ext cx="2100663" cy="2413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latin typeface="+mj-lt"/>
              </a:rPr>
              <a:t>Average</a:t>
            </a:r>
            <a:r>
              <a:rPr lang="en-US" sz="1200" b="1" baseline="0">
                <a:latin typeface="+mj-lt"/>
              </a:rPr>
              <a:t> Performance Rating</a:t>
            </a:r>
            <a:endParaRPr lang="en-US" sz="1200" b="1">
              <a:latin typeface="+mj-lt"/>
            </a:endParaRPr>
          </a:p>
        </xdr:txBody>
      </xdr:sp>
      <xdr:sp macro="" textlink="">
        <xdr:nvSpPr>
          <xdr:cNvPr id="51" name="Rectangle: Rounded Corners 50">
            <a:extLst>
              <a:ext uri="{FF2B5EF4-FFF2-40B4-BE49-F238E27FC236}">
                <a16:creationId xmlns:a16="http://schemas.microsoft.com/office/drawing/2014/main" id="{E1DCEC93-7A8C-BE86-88FF-8CA6DE4A262C}"/>
              </a:ext>
            </a:extLst>
          </xdr:cNvPr>
          <xdr:cNvSpPr/>
        </xdr:nvSpPr>
        <xdr:spPr>
          <a:xfrm>
            <a:off x="2362200" y="904875"/>
            <a:ext cx="628532" cy="762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A$8">
        <xdr:nvSpPr>
          <xdr:cNvPr id="52" name="TextBox 51">
            <a:extLst>
              <a:ext uri="{FF2B5EF4-FFF2-40B4-BE49-F238E27FC236}">
                <a16:creationId xmlns:a16="http://schemas.microsoft.com/office/drawing/2014/main" id="{63272D2B-C980-45C2-4087-137DB8722C30}"/>
              </a:ext>
            </a:extLst>
          </xdr:cNvPr>
          <xdr:cNvSpPr txBox="1"/>
        </xdr:nvSpPr>
        <xdr:spPr>
          <a:xfrm>
            <a:off x="3609975" y="1266825"/>
            <a:ext cx="66675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33E5CAA-8E2A-48DD-8397-924128B2780E}" type="TxLink">
              <a:rPr lang="en-US" sz="1800" b="1" i="0" u="none" strike="noStrike">
                <a:solidFill>
                  <a:srgbClr val="000000"/>
                </a:solidFill>
                <a:latin typeface="Calibri"/>
                <a:ea typeface="Calibri"/>
                <a:cs typeface="Calibri"/>
              </a:rPr>
              <a:pPr/>
              <a:t>3.40</a:t>
            </a:fld>
            <a:endParaRPr lang="en-IN" sz="1800" b="1"/>
          </a:p>
        </xdr:txBody>
      </xdr:sp>
    </xdr:grpSp>
    <xdr:clientData/>
  </xdr:twoCellAnchor>
  <xdr:twoCellAnchor>
    <xdr:from>
      <xdr:col>0</xdr:col>
      <xdr:colOff>482774</xdr:colOff>
      <xdr:row>22</xdr:row>
      <xdr:rowOff>0</xdr:rowOff>
    </xdr:from>
    <xdr:to>
      <xdr:col>10</xdr:col>
      <xdr:colOff>120432</xdr:colOff>
      <xdr:row>37</xdr:row>
      <xdr:rowOff>175172</xdr:rowOff>
    </xdr:to>
    <xdr:graphicFrame macro="">
      <xdr:nvGraphicFramePr>
        <xdr:cNvPr id="58" name="Chart 57">
          <a:extLst>
            <a:ext uri="{FF2B5EF4-FFF2-40B4-BE49-F238E27FC236}">
              <a16:creationId xmlns:a16="http://schemas.microsoft.com/office/drawing/2014/main" id="{F689C9BB-20D5-43A7-994D-1220A11B3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74814</xdr:colOff>
      <xdr:row>9</xdr:row>
      <xdr:rowOff>167470</xdr:rowOff>
    </xdr:from>
    <xdr:to>
      <xdr:col>16</xdr:col>
      <xdr:colOff>43590</xdr:colOff>
      <xdr:row>21</xdr:row>
      <xdr:rowOff>0</xdr:rowOff>
    </xdr:to>
    <xdr:graphicFrame macro="">
      <xdr:nvGraphicFramePr>
        <xdr:cNvPr id="59" name="Chart 58">
          <a:extLst>
            <a:ext uri="{FF2B5EF4-FFF2-40B4-BE49-F238E27FC236}">
              <a16:creationId xmlns:a16="http://schemas.microsoft.com/office/drawing/2014/main" id="{8BFB145E-0B93-4862-AB50-18CFD7D8D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143724</xdr:colOff>
      <xdr:row>9</xdr:row>
      <xdr:rowOff>167470</xdr:rowOff>
    </xdr:from>
    <xdr:to>
      <xdr:col>22</xdr:col>
      <xdr:colOff>141112</xdr:colOff>
      <xdr:row>20</xdr:row>
      <xdr:rowOff>179134</xdr:rowOff>
    </xdr:to>
    <xdr:graphicFrame macro="">
      <xdr:nvGraphicFramePr>
        <xdr:cNvPr id="60" name="Chart 59">
          <a:extLst>
            <a:ext uri="{FF2B5EF4-FFF2-40B4-BE49-F238E27FC236}">
              <a16:creationId xmlns:a16="http://schemas.microsoft.com/office/drawing/2014/main" id="{3127CEB3-7EF6-4952-8F16-F46D5B21A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537851</xdr:colOff>
      <xdr:row>10</xdr:row>
      <xdr:rowOff>0</xdr:rowOff>
    </xdr:from>
    <xdr:to>
      <xdr:col>8</xdr:col>
      <xdr:colOff>537851</xdr:colOff>
      <xdr:row>21</xdr:row>
      <xdr:rowOff>3981</xdr:rowOff>
    </xdr:to>
    <xdr:graphicFrame macro="">
      <xdr:nvGraphicFramePr>
        <xdr:cNvPr id="61" name="Chart 60">
          <a:extLst>
            <a:ext uri="{FF2B5EF4-FFF2-40B4-BE49-F238E27FC236}">
              <a16:creationId xmlns:a16="http://schemas.microsoft.com/office/drawing/2014/main" id="{86A1533B-7111-4A48-818E-4F5201F70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273707</xdr:colOff>
      <xdr:row>22</xdr:row>
      <xdr:rowOff>0</xdr:rowOff>
    </xdr:from>
    <xdr:to>
      <xdr:col>22</xdr:col>
      <xdr:colOff>141112</xdr:colOff>
      <xdr:row>37</xdr:row>
      <xdr:rowOff>141111</xdr:rowOff>
    </xdr:to>
    <xdr:graphicFrame macro="">
      <xdr:nvGraphicFramePr>
        <xdr:cNvPr id="62" name="Chart 61">
          <a:extLst>
            <a:ext uri="{FF2B5EF4-FFF2-40B4-BE49-F238E27FC236}">
              <a16:creationId xmlns:a16="http://schemas.microsoft.com/office/drawing/2014/main" id="{4D4B9766-AD01-4E84-8D2B-D90F1EFDC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609780</xdr:colOff>
      <xdr:row>4</xdr:row>
      <xdr:rowOff>64587</xdr:rowOff>
    </xdr:from>
    <xdr:to>
      <xdr:col>9</xdr:col>
      <xdr:colOff>74814</xdr:colOff>
      <xdr:row>8</xdr:row>
      <xdr:rowOff>64588</xdr:rowOff>
    </xdr:to>
    <xdr:pic>
      <xdr:nvPicPr>
        <xdr:cNvPr id="7" name="Graphic 6" descr="Users with solid fill">
          <a:extLst>
            <a:ext uri="{FF2B5EF4-FFF2-40B4-BE49-F238E27FC236}">
              <a16:creationId xmlns:a16="http://schemas.microsoft.com/office/drawing/2014/main" id="{6F7A07EE-D8CF-7730-DD46-5337D82C6F7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02554" y="847464"/>
          <a:ext cx="691541" cy="782877"/>
        </a:xfrm>
        <a:prstGeom prst="rect">
          <a:avLst/>
        </a:prstGeom>
        <a:effectLst>
          <a:glow rad="63500">
            <a:schemeClr val="accent3">
              <a:satMod val="175000"/>
              <a:alpha val="40000"/>
            </a:schemeClr>
          </a:glow>
        </a:effectLst>
      </xdr:spPr>
    </xdr:pic>
    <xdr:clientData/>
  </xdr:twoCellAnchor>
  <xdr:twoCellAnchor editAs="oneCell">
    <xdr:from>
      <xdr:col>12</xdr:col>
      <xdr:colOff>301043</xdr:colOff>
      <xdr:row>4</xdr:row>
      <xdr:rowOff>64587</xdr:rowOff>
    </xdr:from>
    <xdr:to>
      <xdr:col>13</xdr:col>
      <xdr:colOff>327140</xdr:colOff>
      <xdr:row>8</xdr:row>
      <xdr:rowOff>38491</xdr:rowOff>
    </xdr:to>
    <xdr:pic>
      <xdr:nvPicPr>
        <xdr:cNvPr id="12" name="Graphic 11" descr="Star with solid fill">
          <a:extLst>
            <a:ext uri="{FF2B5EF4-FFF2-40B4-BE49-F238E27FC236}">
              <a16:creationId xmlns:a16="http://schemas.microsoft.com/office/drawing/2014/main" id="{CDFD6564-93B0-E5DC-A853-8DE59CA7E39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660084" y="847464"/>
          <a:ext cx="639351" cy="756780"/>
        </a:xfrm>
        <a:prstGeom prst="rect">
          <a:avLst/>
        </a:prstGeom>
        <a:effectLst>
          <a:glow rad="63500">
            <a:schemeClr val="accent3">
              <a:satMod val="175000"/>
              <a:alpha val="40000"/>
            </a:schemeClr>
          </a:glow>
        </a:effectLst>
      </xdr:spPr>
    </xdr:pic>
    <xdr:clientData/>
  </xdr:twoCellAnchor>
  <xdr:twoCellAnchor>
    <xdr:from>
      <xdr:col>17</xdr:col>
      <xdr:colOff>597989</xdr:colOff>
      <xdr:row>4</xdr:row>
      <xdr:rowOff>54805</xdr:rowOff>
    </xdr:from>
    <xdr:to>
      <xdr:col>21</xdr:col>
      <xdr:colOff>317882</xdr:colOff>
      <xdr:row>8</xdr:row>
      <xdr:rowOff>64329</xdr:rowOff>
    </xdr:to>
    <xdr:grpSp>
      <xdr:nvGrpSpPr>
        <xdr:cNvPr id="16" name="Group 15">
          <a:extLst>
            <a:ext uri="{FF2B5EF4-FFF2-40B4-BE49-F238E27FC236}">
              <a16:creationId xmlns:a16="http://schemas.microsoft.com/office/drawing/2014/main" id="{0CDC64C4-8E82-0970-2F57-747A1EEA1767}"/>
            </a:ext>
          </a:extLst>
        </xdr:cNvPr>
        <xdr:cNvGrpSpPr/>
      </xdr:nvGrpSpPr>
      <xdr:grpSpPr>
        <a:xfrm>
          <a:off x="11023297" y="837682"/>
          <a:ext cx="2172907" cy="792400"/>
          <a:chOff x="8746051" y="800869"/>
          <a:chExt cx="2399332" cy="792400"/>
        </a:xfrm>
      </xdr:grpSpPr>
      <xdr:grpSp>
        <xdr:nvGrpSpPr>
          <xdr:cNvPr id="53" name="Group 52">
            <a:extLst>
              <a:ext uri="{FF2B5EF4-FFF2-40B4-BE49-F238E27FC236}">
                <a16:creationId xmlns:a16="http://schemas.microsoft.com/office/drawing/2014/main" id="{A4387ED0-7F4A-62EC-477A-9C7D9ACD1132}"/>
              </a:ext>
            </a:extLst>
          </xdr:cNvPr>
          <xdr:cNvGrpSpPr/>
        </xdr:nvGrpSpPr>
        <xdr:grpSpPr>
          <a:xfrm>
            <a:off x="8746051" y="800869"/>
            <a:ext cx="2399332" cy="792400"/>
            <a:chOff x="2600326" y="895351"/>
            <a:chExt cx="1931897" cy="771524"/>
          </a:xfrm>
        </xdr:grpSpPr>
        <xdr:sp macro="" textlink="">
          <xdr:nvSpPr>
            <xdr:cNvPr id="54" name="Rectangle: Rounded Corners 53">
              <a:extLst>
                <a:ext uri="{FF2B5EF4-FFF2-40B4-BE49-F238E27FC236}">
                  <a16:creationId xmlns:a16="http://schemas.microsoft.com/office/drawing/2014/main" id="{F9852102-7DCD-7957-1323-EBD443D1AD10}"/>
                </a:ext>
              </a:extLst>
            </xdr:cNvPr>
            <xdr:cNvSpPr/>
          </xdr:nvSpPr>
          <xdr:spPr>
            <a:xfrm>
              <a:off x="2609849" y="895351"/>
              <a:ext cx="1857376" cy="771524"/>
            </a:xfrm>
            <a:prstGeom prst="round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8DBC84E3-EA7F-92E2-F9E5-881C1786230A}"/>
                </a:ext>
              </a:extLst>
            </xdr:cNvPr>
            <xdr:cNvSpPr txBox="1"/>
          </xdr:nvSpPr>
          <xdr:spPr>
            <a:xfrm>
              <a:off x="3370173" y="942963"/>
              <a:ext cx="11620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latin typeface="+mj-lt"/>
                </a:rPr>
                <a:t>Average</a:t>
              </a:r>
              <a:r>
                <a:rPr lang="en-US" sz="1200" b="1" baseline="0">
                  <a:latin typeface="+mj-lt"/>
                </a:rPr>
                <a:t> Salary</a:t>
              </a:r>
              <a:endParaRPr lang="en-US" sz="1200" b="1">
                <a:latin typeface="+mj-lt"/>
              </a:endParaRPr>
            </a:p>
          </xdr:txBody>
        </xdr:sp>
        <xdr:sp macro="" textlink="">
          <xdr:nvSpPr>
            <xdr:cNvPr id="56" name="Rectangle: Rounded Corners 55">
              <a:extLst>
                <a:ext uri="{FF2B5EF4-FFF2-40B4-BE49-F238E27FC236}">
                  <a16:creationId xmlns:a16="http://schemas.microsoft.com/office/drawing/2014/main" id="{5F39F552-79D1-BF3A-02C3-B59338519F32}"/>
                </a:ext>
              </a:extLst>
            </xdr:cNvPr>
            <xdr:cNvSpPr/>
          </xdr:nvSpPr>
          <xdr:spPr>
            <a:xfrm>
              <a:off x="2600326" y="904875"/>
              <a:ext cx="533400" cy="7620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A$12">
          <xdr:nvSpPr>
            <xdr:cNvPr id="57" name="TextBox 56">
              <a:extLst>
                <a:ext uri="{FF2B5EF4-FFF2-40B4-BE49-F238E27FC236}">
                  <a16:creationId xmlns:a16="http://schemas.microsoft.com/office/drawing/2014/main" id="{8F4EBA31-F4CA-DF85-B27F-44E75BE963AD}"/>
                </a:ext>
              </a:extLst>
            </xdr:cNvPr>
            <xdr:cNvSpPr txBox="1"/>
          </xdr:nvSpPr>
          <xdr:spPr>
            <a:xfrm>
              <a:off x="3314700" y="1276350"/>
              <a:ext cx="1078982" cy="249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8EE1A7-C004-4B47-A3D7-F57471251BB6}" type="TxLink">
                <a:rPr lang="en-US" sz="1800" b="1" i="0" u="none" strike="noStrike">
                  <a:solidFill>
                    <a:srgbClr val="000000"/>
                  </a:solidFill>
                  <a:latin typeface="Calibri"/>
                  <a:ea typeface="Calibri"/>
                  <a:cs typeface="Calibri"/>
                </a:rPr>
                <a:pPr algn="ctr"/>
                <a:t> $81,393 </a:t>
              </a:fld>
              <a:endParaRPr lang="en-IN" sz="1800" b="1"/>
            </a:p>
          </xdr:txBody>
        </xdr:sp>
      </xdr:grpSp>
      <xdr:pic>
        <xdr:nvPicPr>
          <xdr:cNvPr id="15" name="Graphic 14" descr="Dollar with solid fill">
            <a:extLst>
              <a:ext uri="{FF2B5EF4-FFF2-40B4-BE49-F238E27FC236}">
                <a16:creationId xmlns:a16="http://schemas.microsoft.com/office/drawing/2014/main" id="{5C561C14-A4FD-657A-DB0B-C420F29090C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755171" y="887259"/>
            <a:ext cx="652397" cy="639351"/>
          </a:xfrm>
          <a:prstGeom prst="rect">
            <a:avLst/>
          </a:prstGeom>
          <a:effectLst>
            <a:glow rad="63500">
              <a:schemeClr val="accent3">
                <a:satMod val="175000"/>
                <a:alpha val="40000"/>
              </a:schemeClr>
            </a:glow>
          </a:effectLst>
        </xdr:spPr>
      </xdr:pic>
    </xdr:grpSp>
    <xdr:clientData/>
  </xdr:twoCellAnchor>
  <xdr:twoCellAnchor editAs="oneCell">
    <xdr:from>
      <xdr:col>0</xdr:col>
      <xdr:colOff>482773</xdr:colOff>
      <xdr:row>3</xdr:row>
      <xdr:rowOff>125903</xdr:rowOff>
    </xdr:from>
    <xdr:to>
      <xdr:col>6</xdr:col>
      <xdr:colOff>511252</xdr:colOff>
      <xdr:row>9</xdr:row>
      <xdr:rowOff>97654</xdr:rowOff>
    </xdr:to>
    <mc:AlternateContent xmlns:mc="http://schemas.openxmlformats.org/markup-compatibility/2006">
      <mc:Choice xmlns:a14="http://schemas.microsoft.com/office/drawing/2010/main" Requires="a14">
        <xdr:graphicFrame macro="">
          <xdr:nvGraphicFramePr>
            <xdr:cNvPr id="20" name="Job Title">
              <a:extLst>
                <a:ext uri="{FF2B5EF4-FFF2-40B4-BE49-F238E27FC236}">
                  <a16:creationId xmlns:a16="http://schemas.microsoft.com/office/drawing/2014/main" id="{734307CF-DC99-4403-A869-FC4EDCC23A67}"/>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482773" y="713061"/>
              <a:ext cx="3708000" cy="1146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akki Muthu" refreshedDate="46305.498809837962" createdVersion="8" refreshedVersion="8" minRefreshableVersion="3" recordCount="499" xr:uid="{EF5BFC34-253E-4D8A-8BAC-99A9CD56609F}">
  <cacheSource type="worksheet">
    <worksheetSource name="Table1"/>
  </cacheSource>
  <cacheFields count="15">
    <cacheField name="Employee ID" numFmtId="0">
      <sharedItems/>
    </cacheField>
    <cacheField name="First Name" numFmtId="0">
      <sharedItems/>
    </cacheField>
    <cacheField name="Last Name" numFmtId="0">
      <sharedItems/>
    </cacheField>
    <cacheField name="Gender" numFmtId="0">
      <sharedItems count="3">
        <s v="Non-binary"/>
        <s v="Female"/>
        <s v="Male"/>
      </sharedItems>
    </cacheField>
    <cacheField name="Age" numFmtId="0">
      <sharedItems containsSemiMixedTypes="0" containsString="0" containsNumber="1" containsInteger="1" minValue="24" maxValue="66"/>
    </cacheField>
    <cacheField name="Department" numFmtId="0">
      <sharedItems count="11">
        <s v="Research &amp; Development"/>
        <s v="Engineering"/>
        <s v="Customer Support"/>
        <s v="Sales"/>
        <s v="Operations"/>
        <s v="Marketing"/>
        <s v="IT"/>
        <s v="Finance"/>
        <s v="Human Resources"/>
        <s v="Unknown"/>
        <s v="Legal"/>
      </sharedItems>
    </cacheField>
    <cacheField name="Job Title" numFmtId="0">
      <sharedItems count="10">
        <s v="Manager"/>
        <s v="Analyst"/>
        <s v="Director"/>
        <s v="Senior Analyst"/>
        <s v="Associate"/>
        <s v="Specialist"/>
        <s v="Coordinator"/>
        <s v="Senior Manager"/>
        <s v="VP"/>
        <s v="Manager " u="1"/>
      </sharedItems>
    </cacheField>
    <cacheField name="Salary" numFmtId="164">
      <sharedItems containsSemiMixedTypes="0" containsString="0" containsNumber="1" minValue="36674" maxValue="252868"/>
    </cacheField>
    <cacheField name="Hire Date" numFmtId="14">
      <sharedItems containsDate="1" containsMixedTypes="1" minDate="2005-01-12T00:00:00" maxDate="2024-12-29T00:00:00"/>
    </cacheField>
    <cacheField name="Company Tenure" numFmtId="1">
      <sharedItems containsMixedTypes="1" containsNumber="1" containsInteger="1" minValue="1" maxValue="21"/>
    </cacheField>
    <cacheField name="Email" numFmtId="0">
      <sharedItems/>
    </cacheField>
    <cacheField name="City" numFmtId="0">
      <sharedItems count="14">
        <s v="Chicago"/>
        <s v="San Diego"/>
        <s v="Austin"/>
        <s v="Seattle"/>
        <s v="Denver"/>
        <s v="New York"/>
        <s v="Phoenix"/>
        <s v="Miami"/>
        <s v="Dallas"/>
        <s v="Minneapolis"/>
        <s v="Nashville"/>
        <s v="Portland"/>
        <s v="Boston"/>
        <s v="Atlanta"/>
      </sharedItems>
    </cacheField>
    <cacheField name="Performance Rating" numFmtId="0">
      <sharedItems containsSemiMixedTypes="0" containsString="0" containsNumber="1" containsInteger="1" minValue="1" maxValue="5" count="5">
        <n v="3"/>
        <n v="5"/>
        <n v="2"/>
        <n v="4"/>
        <n v="1"/>
      </sharedItems>
    </cacheField>
    <cacheField name="Age Group" numFmtId="0">
      <sharedItems count="8">
        <s v="56-60"/>
        <s v="24-30"/>
        <s v="46-50"/>
        <s v="36-40"/>
        <s v="41-45"/>
        <s v="51-55"/>
        <s v="31-35"/>
        <s v="61-66"/>
      </sharedItems>
    </cacheField>
    <cacheField name="Salary Range" numFmtId="0">
      <sharedItems count="5">
        <s v="100K - 150K"/>
        <s v="30K - 50K"/>
        <s v="50K - 100K"/>
        <s v="150K - 200K"/>
        <s v="Above 200K"/>
      </sharedItems>
    </cacheField>
  </cacheFields>
  <extLst>
    <ext xmlns:x14="http://schemas.microsoft.com/office/spreadsheetml/2009/9/main" uri="{725AE2AE-9491-48be-B2B4-4EB974FC3084}">
      <x14:pivotCacheDefinition pivotCacheId="1438915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E01502"/>
    <s v="Linda"/>
    <s v="Robinson"/>
    <x v="0"/>
    <n v="56"/>
    <x v="0"/>
    <x v="0"/>
    <n v="123185"/>
    <d v="2007-03-10T00:00:00"/>
    <n v="19"/>
    <s v="linda.robinson@northfield-hr.com"/>
    <x v="0"/>
    <x v="0"/>
    <x v="0"/>
    <x v="0"/>
  </r>
  <r>
    <s v="E02587"/>
    <s v="Liam"/>
    <s v="Lopez"/>
    <x v="1"/>
    <n v="28"/>
    <x v="1"/>
    <x v="0"/>
    <n v="119403"/>
    <d v="2021-07-13T00:00:00"/>
    <n v="5"/>
    <s v="liam.lopez@northfield-hr.com"/>
    <x v="1"/>
    <x v="1"/>
    <x v="1"/>
    <x v="0"/>
  </r>
  <r>
    <s v="E02654"/>
    <s v="Elizabeth"/>
    <s v="Gonzalez"/>
    <x v="1"/>
    <n v="48"/>
    <x v="2"/>
    <x v="1"/>
    <n v="41791.5"/>
    <d v="2007-07-02T00:00:00"/>
    <n v="19"/>
    <s v="elizabeth.gonzalez@northfield-hr.com"/>
    <x v="2"/>
    <x v="1"/>
    <x v="2"/>
    <x v="1"/>
  </r>
  <r>
    <s v="E01056"/>
    <s v="Thomas"/>
    <s v="Thomas"/>
    <x v="0"/>
    <n v="36"/>
    <x v="3"/>
    <x v="1"/>
    <n v="55953.55"/>
    <d v="2015-02-12T00:00:00"/>
    <n v="11"/>
    <s v="thomas.thomas@northfield-hr.com"/>
    <x v="3"/>
    <x v="0"/>
    <x v="3"/>
    <x v="2"/>
  </r>
  <r>
    <s v="E00706"/>
    <s v="William"/>
    <s v="Harris"/>
    <x v="2"/>
    <n v="43"/>
    <x v="4"/>
    <x v="1"/>
    <n v="59738"/>
    <d v="2009-12-13T00:00:00"/>
    <n v="16"/>
    <s v="william.harris@northfield-hr.com"/>
    <x v="4"/>
    <x v="2"/>
    <x v="4"/>
    <x v="2"/>
  </r>
  <r>
    <s v="E00107"/>
    <s v="John"/>
    <s v="Torres"/>
    <x v="0"/>
    <n v="44"/>
    <x v="5"/>
    <x v="1"/>
    <n v="60058.66"/>
    <d v="2020-05-25T00:00:00"/>
    <n v="6"/>
    <s v="john.torres@northfield-hr.com"/>
    <x v="5"/>
    <x v="0"/>
    <x v="4"/>
    <x v="2"/>
  </r>
  <r>
    <s v="E00590"/>
    <s v="Patricia"/>
    <s v="Smith"/>
    <x v="0"/>
    <n v="42"/>
    <x v="6"/>
    <x v="2"/>
    <n v="148727"/>
    <d v="2010-08-21T00:00:00"/>
    <n v="16"/>
    <s v="patricia.smith@northfield-hr.com"/>
    <x v="3"/>
    <x v="3"/>
    <x v="4"/>
    <x v="0"/>
  </r>
  <r>
    <s v="E02469"/>
    <s v="John"/>
    <s v="Garcia"/>
    <x v="2"/>
    <n v="50"/>
    <x v="0"/>
    <x v="3"/>
    <n v="102926"/>
    <d v="2012-11-10T00:00:00"/>
    <n v="13"/>
    <s v="john.garcia@northfield-hr.com"/>
    <x v="6"/>
    <x v="3"/>
    <x v="2"/>
    <x v="0"/>
  </r>
  <r>
    <s v="E02414"/>
    <s v="Barbara"/>
    <s v="Johnson"/>
    <x v="0"/>
    <n v="45"/>
    <x v="7"/>
    <x v="1"/>
    <n v="70674.58"/>
    <d v="2015-01-03T00:00:00"/>
    <n v="11"/>
    <s v="barbara.johnson@northfield-hr.com"/>
    <x v="4"/>
    <x v="3"/>
    <x v="4"/>
    <x v="2"/>
  </r>
  <r>
    <s v="E01601"/>
    <s v="Barbara"/>
    <s v="Harris"/>
    <x v="2"/>
    <n v="42"/>
    <x v="8"/>
    <x v="4"/>
    <n v="50030.33"/>
    <d v="2006-12-06T00:00:00"/>
    <n v="19"/>
    <s v="barbara.harris@northfield-hr.com"/>
    <x v="5"/>
    <x v="3"/>
    <x v="4"/>
    <x v="2"/>
  </r>
  <r>
    <s v="E02465"/>
    <s v="Sarah"/>
    <s v="Thomas"/>
    <x v="2"/>
    <n v="36"/>
    <x v="9"/>
    <x v="5"/>
    <n v="94159"/>
    <d v="2018-12-26T00:00:00"/>
    <n v="7"/>
    <s v="sarah.thomas@northfield-hr.com"/>
    <x v="7"/>
    <x v="0"/>
    <x v="3"/>
    <x v="2"/>
  </r>
  <r>
    <s v="E00229"/>
    <s v="Jessica"/>
    <s v="Clark"/>
    <x v="0"/>
    <n v="27"/>
    <x v="7"/>
    <x v="4"/>
    <n v="65732"/>
    <s v=""/>
    <s v=""/>
    <s v="jessica.clark@northfield-hr.com"/>
    <x v="7"/>
    <x v="0"/>
    <x v="1"/>
    <x v="2"/>
  </r>
  <r>
    <s v="E00916"/>
    <s v="Priya"/>
    <s v="Clark"/>
    <x v="1"/>
    <n v="40"/>
    <x v="2"/>
    <x v="5"/>
    <n v="48744"/>
    <d v="2021-10-04T00:00:00"/>
    <n v="5"/>
    <s v="priya.clark@northfield-hr.com"/>
    <x v="8"/>
    <x v="1"/>
    <x v="3"/>
    <x v="1"/>
  </r>
  <r>
    <s v="E00795"/>
    <s v="Wei"/>
    <s v="Torres"/>
    <x v="0"/>
    <n v="38"/>
    <x v="3"/>
    <x v="0"/>
    <n v="83027"/>
    <d v="2024-05-08T00:00:00"/>
    <n v="2"/>
    <s v="wei.torres@northfield-hr.com"/>
    <x v="2"/>
    <x v="0"/>
    <x v="3"/>
    <x v="2"/>
  </r>
  <r>
    <s v="E03022"/>
    <s v="Thomas"/>
    <s v="Jackson"/>
    <x v="0"/>
    <n v="51"/>
    <x v="0"/>
    <x v="3"/>
    <n v="121027"/>
    <d v="2009-07-23T00:00:00"/>
    <n v="17"/>
    <s v="thomas.jackson@northfield-hr.com"/>
    <x v="5"/>
    <x v="0"/>
    <x v="5"/>
    <x v="0"/>
  </r>
  <r>
    <s v="E03544"/>
    <s v="Michael"/>
    <s v="Allen"/>
    <x v="1"/>
    <n v="31"/>
    <x v="10"/>
    <x v="5"/>
    <n v="106159.86"/>
    <s v=""/>
    <s v=""/>
    <s v="michael.allen@northfield-hr.com"/>
    <x v="9"/>
    <x v="4"/>
    <x v="6"/>
    <x v="0"/>
  </r>
  <r>
    <s v="E01074"/>
    <s v="Robert"/>
    <s v="Adams"/>
    <x v="2"/>
    <n v="43"/>
    <x v="3"/>
    <x v="1"/>
    <n v="56299"/>
    <d v="2012-04-15T00:00:00"/>
    <n v="14"/>
    <s v="robert.adams@northfield-hr.com"/>
    <x v="1"/>
    <x v="1"/>
    <x v="4"/>
    <x v="2"/>
  </r>
  <r>
    <s v="E03352"/>
    <s v="Priya"/>
    <s v="Johnson"/>
    <x v="0"/>
    <n v="24"/>
    <x v="7"/>
    <x v="0"/>
    <n v="83393"/>
    <d v="2024-01-30T00:00:00"/>
    <n v="2"/>
    <s v="priya.johnson@northfield-hr.com"/>
    <x v="5"/>
    <x v="0"/>
    <x v="1"/>
    <x v="2"/>
  </r>
  <r>
    <s v="E01745"/>
    <s v="Chidi"/>
    <s v="Johnson"/>
    <x v="0"/>
    <n v="33"/>
    <x v="7"/>
    <x v="5"/>
    <n v="77770.5"/>
    <d v="2015-07-24T00:00:00"/>
    <n v="11"/>
    <s v="chidi.johnson@northfield-hr.com"/>
    <x v="7"/>
    <x v="3"/>
    <x v="6"/>
    <x v="2"/>
  </r>
  <r>
    <s v="E01085"/>
    <s v="Lucas"/>
    <s v="Ramirez"/>
    <x v="2"/>
    <n v="42"/>
    <x v="3"/>
    <x v="3"/>
    <n v="66972"/>
    <d v="2007-02-14T00:00:00"/>
    <n v="19"/>
    <s v="lucas.ramirez@northfield-hr.com"/>
    <x v="6"/>
    <x v="3"/>
    <x v="4"/>
    <x v="2"/>
  </r>
  <r>
    <s v="E00927"/>
    <s v="Ava"/>
    <s v="Miller"/>
    <x v="2"/>
    <n v="47"/>
    <x v="9"/>
    <x v="3"/>
    <n v="56984"/>
    <d v="2016-02-10T00:00:00"/>
    <n v="10"/>
    <s v="ava.miller@northfield-hr.com"/>
    <x v="3"/>
    <x v="2"/>
    <x v="2"/>
    <x v="2"/>
  </r>
  <r>
    <s v="E03050"/>
    <s v="Liam"/>
    <s v="Nguyen"/>
    <x v="1"/>
    <n v="30"/>
    <x v="10"/>
    <x v="0"/>
    <n v="139045"/>
    <s v=""/>
    <s v=""/>
    <s v="liam.nguyen@northfield-hr.com"/>
    <x v="10"/>
    <x v="3"/>
    <x v="1"/>
    <x v="0"/>
  </r>
  <r>
    <s v="E01118"/>
    <s v="Jessica"/>
    <s v="Martinez"/>
    <x v="0"/>
    <n v="45"/>
    <x v="6"/>
    <x v="5"/>
    <n v="76764"/>
    <d v="2014-06-17T00:00:00"/>
    <n v="12"/>
    <s v="jessica.martinez@northfield-hr.com"/>
    <x v="9"/>
    <x v="0"/>
    <x v="4"/>
    <x v="2"/>
  </r>
  <r>
    <s v="E00643"/>
    <s v="Wei"/>
    <s v="Robinson"/>
    <x v="0"/>
    <n v="32"/>
    <x v="9"/>
    <x v="1"/>
    <n v="88558"/>
    <d v="2018-04-01T00:00:00"/>
    <n v="8"/>
    <s v="wei.robinson@northfield-hr.com"/>
    <x v="0"/>
    <x v="0"/>
    <x v="6"/>
    <x v="2"/>
  </r>
  <r>
    <s v="E02898"/>
    <s v="Mary"/>
    <s v="Martin"/>
    <x v="1"/>
    <n v="36"/>
    <x v="9"/>
    <x v="5"/>
    <n v="56678"/>
    <d v="2019-11-17T00:00:00"/>
    <n v="6"/>
    <s v="mary.martin@northfield-hr.com"/>
    <x v="6"/>
    <x v="3"/>
    <x v="3"/>
    <x v="2"/>
  </r>
  <r>
    <s v="E00502"/>
    <s v="Hiroshi"/>
    <s v="Sanchez"/>
    <x v="0"/>
    <n v="45"/>
    <x v="5"/>
    <x v="4"/>
    <n v="52951.4"/>
    <d v="2012-04-25T00:00:00"/>
    <n v="14"/>
    <s v="hiroshi.sanchez@northfield-hr.com"/>
    <x v="10"/>
    <x v="0"/>
    <x v="4"/>
    <x v="2"/>
  </r>
  <r>
    <s v="E04067"/>
    <s v="Richard"/>
    <s v="Wright"/>
    <x v="1"/>
    <n v="56"/>
    <x v="3"/>
    <x v="6"/>
    <n v="52668"/>
    <d v="2023-05-17T00:00:00"/>
    <n v="3"/>
    <s v="richard.wright@northfield-hr.com"/>
    <x v="4"/>
    <x v="3"/>
    <x v="0"/>
    <x v="2"/>
  </r>
  <r>
    <s v="E00334"/>
    <s v="Diego"/>
    <s v="Wilson"/>
    <x v="2"/>
    <n v="53"/>
    <x v="2"/>
    <x v="7"/>
    <n v="70531"/>
    <s v=""/>
    <s v=""/>
    <s v="diego.wilson@northfield-hr.com"/>
    <x v="11"/>
    <x v="0"/>
    <x v="5"/>
    <x v="2"/>
  </r>
  <r>
    <s v="E04685"/>
    <s v="Ava"/>
    <s v="Sanchez"/>
    <x v="1"/>
    <n v="41"/>
    <x v="1"/>
    <x v="5"/>
    <n v="102412"/>
    <d v="2007-09-26T00:00:00"/>
    <n v="19"/>
    <s v="ava.sanchez@northfield-hr.com"/>
    <x v="4"/>
    <x v="0"/>
    <x v="4"/>
    <x v="0"/>
  </r>
  <r>
    <s v="E00487"/>
    <s v="John"/>
    <s v="Scott"/>
    <x v="1"/>
    <n v="45"/>
    <x v="4"/>
    <x v="4"/>
    <n v="54430"/>
    <d v="2012-07-31T00:00:00"/>
    <n v="14"/>
    <s v="john.scott@northfield-hr.com"/>
    <x v="7"/>
    <x v="1"/>
    <x v="4"/>
    <x v="2"/>
  </r>
  <r>
    <s v="E01963"/>
    <s v="Sofia"/>
    <s v="Nguyen"/>
    <x v="2"/>
    <n v="54"/>
    <x v="2"/>
    <x v="5"/>
    <n v="46991"/>
    <d v="2006-06-14T00:00:00"/>
    <n v="20"/>
    <s v="sofia.nguyen@northfield-hr.com"/>
    <x v="2"/>
    <x v="4"/>
    <x v="5"/>
    <x v="1"/>
  </r>
  <r>
    <s v="E00394"/>
    <s v="Fatima"/>
    <s v="Smith"/>
    <x v="2"/>
    <n v="42"/>
    <x v="0"/>
    <x v="4"/>
    <n v="88857"/>
    <d v="2008-01-24T00:00:00"/>
    <n v="18"/>
    <s v="fatima.smith@northfield-hr.com"/>
    <x v="3"/>
    <x v="3"/>
    <x v="4"/>
    <x v="2"/>
  </r>
  <r>
    <s v="E01431"/>
    <s v="Wei"/>
    <s v="Rodriguez"/>
    <x v="0"/>
    <n v="42"/>
    <x v="9"/>
    <x v="5"/>
    <n v="57450"/>
    <d v="2010-07-08T00:00:00"/>
    <n v="16"/>
    <s v="wei.rodriguez@northfield-hr.com"/>
    <x v="12"/>
    <x v="0"/>
    <x v="4"/>
    <x v="2"/>
  </r>
  <r>
    <s v="E03357"/>
    <s v="Barbara"/>
    <s v="Clark"/>
    <x v="1"/>
    <n v="40"/>
    <x v="5"/>
    <x v="3"/>
    <n v="63628.5"/>
    <d v="2020-02-01T00:00:00"/>
    <n v="6"/>
    <s v="barbara.clark@northfield-hr.com"/>
    <x v="4"/>
    <x v="0"/>
    <x v="3"/>
    <x v="2"/>
  </r>
  <r>
    <s v="E01756"/>
    <s v="Jessica"/>
    <s v="Martin"/>
    <x v="0"/>
    <n v="29"/>
    <x v="5"/>
    <x v="0"/>
    <n v="88471.86"/>
    <d v="2019-05-29T00:00:00"/>
    <n v="7"/>
    <s v="jessica.martin@northfield-hr.com"/>
    <x v="10"/>
    <x v="0"/>
    <x v="1"/>
    <x v="2"/>
  </r>
  <r>
    <s v="E02516"/>
    <s v="Jennifer"/>
    <s v="Robinson"/>
    <x v="1"/>
    <n v="50"/>
    <x v="2"/>
    <x v="1"/>
    <n v="38928"/>
    <d v="2022-08-26T00:00:00"/>
    <n v="4"/>
    <s v="jennifer.robinson@northfield-hr.com"/>
    <x v="2"/>
    <x v="1"/>
    <x v="2"/>
    <x v="1"/>
  </r>
  <r>
    <s v="E03586"/>
    <s v="Karen"/>
    <s v="Rodriguez"/>
    <x v="2"/>
    <n v="35"/>
    <x v="9"/>
    <x v="3"/>
    <n v="85797"/>
    <d v="2023-04-01T00:00:00"/>
    <n v="3"/>
    <s v="karen.rodriguez@northfield-hr.com"/>
    <x v="5"/>
    <x v="2"/>
    <x v="6"/>
    <x v="2"/>
  </r>
  <r>
    <s v="E04316"/>
    <s v="John"/>
    <s v="Lee"/>
    <x v="1"/>
    <n v="50"/>
    <x v="3"/>
    <x v="3"/>
    <n v="61000"/>
    <d v="2011-06-27T00:00:00"/>
    <n v="15"/>
    <s v="john.lee@northfield-hr.com"/>
    <x v="2"/>
    <x v="2"/>
    <x v="2"/>
    <x v="2"/>
  </r>
  <r>
    <s v="E02795"/>
    <s v="James"/>
    <s v="Martin"/>
    <x v="0"/>
    <n v="53"/>
    <x v="9"/>
    <x v="1"/>
    <n v="96569"/>
    <d v="2018-07-24T00:00:00"/>
    <n v="8"/>
    <s v="james.martin@northfield-hr.com"/>
    <x v="12"/>
    <x v="0"/>
    <x v="5"/>
    <x v="2"/>
  </r>
  <r>
    <s v="E02100"/>
    <s v="Robert"/>
    <s v="Gonzalez"/>
    <x v="0"/>
    <n v="43"/>
    <x v="4"/>
    <x v="5"/>
    <n v="45563"/>
    <d v="2005-10-22T00:00:00"/>
    <n v="20"/>
    <s v="robert.gonzalez@northfield-hr.com"/>
    <x v="3"/>
    <x v="0"/>
    <x v="4"/>
    <x v="1"/>
  </r>
  <r>
    <s v="E03600"/>
    <s v="Liam"/>
    <s v="Walker"/>
    <x v="0"/>
    <n v="35"/>
    <x v="5"/>
    <x v="1"/>
    <n v="63726"/>
    <d v="2014-04-03T00:00:00"/>
    <n v="12"/>
    <s v="liam.walker@northfield-hr.com"/>
    <x v="2"/>
    <x v="3"/>
    <x v="6"/>
    <x v="2"/>
  </r>
  <r>
    <s v="E04122"/>
    <s v="Elizabeth"/>
    <s v="Rodriguez"/>
    <x v="0"/>
    <n v="51"/>
    <x v="1"/>
    <x v="7"/>
    <n v="140518"/>
    <d v="2011-04-20T00:00:00"/>
    <n v="15"/>
    <s v="elizabeth.rodriguez@northfield-hr.com"/>
    <x v="9"/>
    <x v="0"/>
    <x v="5"/>
    <x v="0"/>
  </r>
  <r>
    <s v="E00030"/>
    <s v="Michael"/>
    <s v="Ramirez"/>
    <x v="2"/>
    <n v="47"/>
    <x v="4"/>
    <x v="4"/>
    <n v="52351.55"/>
    <d v="2014-07-02T00:00:00"/>
    <n v="12"/>
    <s v="michael.ramirez@northfield-hr.com"/>
    <x v="12"/>
    <x v="0"/>
    <x v="2"/>
    <x v="2"/>
  </r>
  <r>
    <s v="E00066"/>
    <s v="William"/>
    <s v="Garcia"/>
    <x v="2"/>
    <n v="38"/>
    <x v="8"/>
    <x v="3"/>
    <n v="53345"/>
    <d v="2016-07-24T00:00:00"/>
    <n v="10"/>
    <s v="william.garcia@northfield-hr.com"/>
    <x v="8"/>
    <x v="3"/>
    <x v="3"/>
    <x v="2"/>
  </r>
  <r>
    <s v="E00839"/>
    <s v="Fatima"/>
    <s v="Hill"/>
    <x v="0"/>
    <n v="53"/>
    <x v="1"/>
    <x v="1"/>
    <n v="93825"/>
    <d v="2007-10-11T00:00:00"/>
    <n v="18"/>
    <s v="fatima.hill@northfield-hr.com"/>
    <x v="11"/>
    <x v="2"/>
    <x v="5"/>
    <x v="2"/>
  </r>
  <r>
    <s v="E03907"/>
    <s v="Charles"/>
    <s v="Thompson"/>
    <x v="0"/>
    <n v="34"/>
    <x v="2"/>
    <x v="4"/>
    <n v="41306"/>
    <d v="2021-08-11T00:00:00"/>
    <n v="5"/>
    <s v="charles.thompson@northfield-hr.com"/>
    <x v="7"/>
    <x v="3"/>
    <x v="6"/>
    <x v="1"/>
  </r>
  <r>
    <s v="E03774"/>
    <s v="John"/>
    <s v="Thompson"/>
    <x v="2"/>
    <n v="41"/>
    <x v="3"/>
    <x v="1"/>
    <n v="58556"/>
    <d v="2013-08-20T00:00:00"/>
    <n v="13"/>
    <s v="john.thompson@northfield-hr.com"/>
    <x v="11"/>
    <x v="0"/>
    <x v="4"/>
    <x v="2"/>
  </r>
  <r>
    <s v="E04636"/>
    <s v="Hiroshi"/>
    <s v="Anderson"/>
    <x v="0"/>
    <n v="50"/>
    <x v="7"/>
    <x v="7"/>
    <n v="118413.5"/>
    <d v="2012-09-27T00:00:00"/>
    <n v="14"/>
    <s v="hiroshi.anderson@northfield-hr.com"/>
    <x v="2"/>
    <x v="3"/>
    <x v="2"/>
    <x v="0"/>
  </r>
  <r>
    <s v="E03162"/>
    <s v="David"/>
    <s v="Thomas"/>
    <x v="2"/>
    <n v="51"/>
    <x v="7"/>
    <x v="2"/>
    <n v="143601"/>
    <d v="2024-05-19T00:00:00"/>
    <n v="2"/>
    <s v="david.thomas@northfield-hr.com"/>
    <x v="4"/>
    <x v="3"/>
    <x v="5"/>
    <x v="0"/>
  </r>
  <r>
    <s v="E02660"/>
    <s v="Richard"/>
    <s v="Williams"/>
    <x v="2"/>
    <n v="43"/>
    <x v="6"/>
    <x v="6"/>
    <n v="65603"/>
    <d v="2018-08-28T00:00:00"/>
    <n v="8"/>
    <s v="richard.williams@northfield-hr.com"/>
    <x v="9"/>
    <x v="1"/>
    <x v="4"/>
    <x v="2"/>
  </r>
  <r>
    <s v="E04616"/>
    <s v="Elizabeth"/>
    <s v="Perez"/>
    <x v="2"/>
    <n v="44"/>
    <x v="9"/>
    <x v="4"/>
    <n v="66020"/>
    <d v="2012-07-29T00:00:00"/>
    <n v="14"/>
    <s v="elizabeth.perez@northfield-hr.com"/>
    <x v="4"/>
    <x v="1"/>
    <x v="4"/>
    <x v="2"/>
  </r>
  <r>
    <s v="E04629"/>
    <s v="Hiroshi"/>
    <s v="Jones"/>
    <x v="1"/>
    <n v="36"/>
    <x v="6"/>
    <x v="7"/>
    <n v="118974"/>
    <d v="2017-02-17T00:00:00"/>
    <n v="9"/>
    <s v="hiroshi.jones@northfield-hr.com"/>
    <x v="8"/>
    <x v="4"/>
    <x v="3"/>
    <x v="0"/>
  </r>
  <r>
    <s v="E02452"/>
    <s v="Sofia"/>
    <s v="Allen"/>
    <x v="1"/>
    <n v="51"/>
    <x v="1"/>
    <x v="7"/>
    <n v="130788"/>
    <d v="2009-10-03T00:00:00"/>
    <n v="17"/>
    <s v="sofia.allen@northfield-hr.com"/>
    <x v="0"/>
    <x v="4"/>
    <x v="5"/>
    <x v="0"/>
  </r>
  <r>
    <s v="E02847"/>
    <s v="Ava"/>
    <s v="Thomas"/>
    <x v="1"/>
    <n v="27"/>
    <x v="4"/>
    <x v="1"/>
    <n v="55433"/>
    <d v="2024-03-06T00:00:00"/>
    <n v="2"/>
    <s v="ava.thomas@northfield-hr.com"/>
    <x v="8"/>
    <x v="2"/>
    <x v="1"/>
    <x v="2"/>
  </r>
  <r>
    <s v="E01145"/>
    <s v="Noah"/>
    <s v="Martinez"/>
    <x v="0"/>
    <n v="52"/>
    <x v="9"/>
    <x v="0"/>
    <n v="59417"/>
    <d v="2012-04-18T00:00:00"/>
    <n v="14"/>
    <s v="noah.martinez@northfield-hr.com"/>
    <x v="0"/>
    <x v="3"/>
    <x v="5"/>
    <x v="2"/>
  </r>
  <r>
    <s v="E03079"/>
    <s v="Susan"/>
    <s v="Nguyen"/>
    <x v="0"/>
    <n v="28"/>
    <x v="3"/>
    <x v="4"/>
    <n v="54549"/>
    <d v="2022-01-17T00:00:00"/>
    <n v="4"/>
    <s v="susan.nguyen@northfield-hr.com"/>
    <x v="11"/>
    <x v="1"/>
    <x v="1"/>
    <x v="2"/>
  </r>
  <r>
    <s v="E01104"/>
    <s v="Wei"/>
    <s v="Hill"/>
    <x v="0"/>
    <n v="41"/>
    <x v="8"/>
    <x v="5"/>
    <n v="64886"/>
    <d v="2019-09-26T00:00:00"/>
    <n v="7"/>
    <s v="wei.hill@northfield-hr.com"/>
    <x v="6"/>
    <x v="0"/>
    <x v="4"/>
    <x v="2"/>
  </r>
  <r>
    <s v="E00169"/>
    <s v="Mateo"/>
    <s v="Davis"/>
    <x v="0"/>
    <n v="54"/>
    <x v="1"/>
    <x v="6"/>
    <n v="70981"/>
    <d v="2006-06-05T00:00:00"/>
    <n v="20"/>
    <s v="mateo.davis@northfield-hr.com"/>
    <x v="6"/>
    <x v="0"/>
    <x v="5"/>
    <x v="2"/>
  </r>
  <r>
    <s v="E01671"/>
    <s v="Barbara"/>
    <s v="Nguyen"/>
    <x v="0"/>
    <n v="35"/>
    <x v="2"/>
    <x v="6"/>
    <n v="40569.07"/>
    <s v=""/>
    <s v=""/>
    <s v="barbara.nguyen@northfield-hr.com"/>
    <x v="2"/>
    <x v="1"/>
    <x v="6"/>
    <x v="1"/>
  </r>
  <r>
    <s v="E02571"/>
    <s v="Mateo"/>
    <s v="Moore"/>
    <x v="2"/>
    <n v="43"/>
    <x v="7"/>
    <x v="1"/>
    <n v="68894.135000000009"/>
    <s v=""/>
    <s v=""/>
    <s v="mateo.moore@northfield-hr.com"/>
    <x v="3"/>
    <x v="3"/>
    <x v="4"/>
    <x v="2"/>
  </r>
  <r>
    <s v="E02378"/>
    <s v="Robert"/>
    <s v="Lopez"/>
    <x v="2"/>
    <n v="40"/>
    <x v="6"/>
    <x v="6"/>
    <n v="65091"/>
    <d v="2022-09-09T00:00:00"/>
    <n v="4"/>
    <s v="robert.lopez@northfield-hr.com"/>
    <x v="3"/>
    <x v="3"/>
    <x v="3"/>
    <x v="2"/>
  </r>
  <r>
    <s v="E04396"/>
    <s v="Sofia"/>
    <s v="Martinez"/>
    <x v="1"/>
    <n v="33"/>
    <x v="9"/>
    <x v="1"/>
    <n v="71035.5"/>
    <d v="2022-10-13T00:00:00"/>
    <n v="3"/>
    <s v="sofia.martinez@northfield-hr.com"/>
    <x v="1"/>
    <x v="3"/>
    <x v="6"/>
    <x v="2"/>
  </r>
  <r>
    <s v="E04258"/>
    <s v="Mohammed"/>
    <s v="Torres"/>
    <x v="2"/>
    <n v="40"/>
    <x v="5"/>
    <x v="1"/>
    <n v="53870"/>
    <d v="2010-03-09T00:00:00"/>
    <n v="16"/>
    <s v="mohammed.torres@northfield-hr.com"/>
    <x v="4"/>
    <x v="0"/>
    <x v="3"/>
    <x v="2"/>
  </r>
  <r>
    <s v="E03863"/>
    <s v="Fatima"/>
    <s v="Scott"/>
    <x v="2"/>
    <n v="30"/>
    <x v="8"/>
    <x v="6"/>
    <n v="52477.33"/>
    <d v="2019-02-17T00:00:00"/>
    <n v="7"/>
    <s v="fatima.scott@northfield-hr.com"/>
    <x v="2"/>
    <x v="3"/>
    <x v="1"/>
    <x v="2"/>
  </r>
  <r>
    <s v="E00024"/>
    <s v="David"/>
    <s v="Walker"/>
    <x v="0"/>
    <n v="48"/>
    <x v="10"/>
    <x v="0"/>
    <n v="131470"/>
    <d v="2008-09-14T00:00:00"/>
    <n v="18"/>
    <s v="david.walker@northfield-hr.com"/>
    <x v="4"/>
    <x v="0"/>
    <x v="2"/>
    <x v="0"/>
  </r>
  <r>
    <s v="E02634"/>
    <s v="Aiko"/>
    <s v="Moore"/>
    <x v="0"/>
    <n v="32"/>
    <x v="7"/>
    <x v="7"/>
    <n v="127222"/>
    <d v="2024-04-28T00:00:00"/>
    <n v="2"/>
    <s v="aiko.moore@northfield-hr.com"/>
    <x v="11"/>
    <x v="3"/>
    <x v="6"/>
    <x v="0"/>
  </r>
  <r>
    <s v="E03341"/>
    <s v="John"/>
    <s v="Adams"/>
    <x v="2"/>
    <n v="40"/>
    <x v="4"/>
    <x v="5"/>
    <n v="58487"/>
    <d v="2023-05-20T00:00:00"/>
    <n v="3"/>
    <s v="john.adams@northfield-hr.com"/>
    <x v="11"/>
    <x v="0"/>
    <x v="3"/>
    <x v="2"/>
  </r>
  <r>
    <s v="E02216"/>
    <s v="Olga"/>
    <s v="Harris"/>
    <x v="2"/>
    <n v="36"/>
    <x v="5"/>
    <x v="5"/>
    <n v="53165"/>
    <d v="2011-09-20T00:00:00"/>
    <n v="15"/>
    <s v="olga.harris@northfield-hr.com"/>
    <x v="13"/>
    <x v="4"/>
    <x v="3"/>
    <x v="2"/>
  </r>
  <r>
    <s v="E03683"/>
    <s v="Charles"/>
    <s v="Smith"/>
    <x v="0"/>
    <n v="45"/>
    <x v="1"/>
    <x v="5"/>
    <n v="95369"/>
    <d v="2011-03-26T00:00:00"/>
    <n v="15"/>
    <s v="charles.smith@northfield-hr.com"/>
    <x v="6"/>
    <x v="0"/>
    <x v="4"/>
    <x v="2"/>
  </r>
  <r>
    <s v="E01683"/>
    <s v="Priya"/>
    <s v="Hernandez"/>
    <x v="0"/>
    <n v="57"/>
    <x v="8"/>
    <x v="6"/>
    <n v="50394.165000000001"/>
    <d v="2012-10-07T00:00:00"/>
    <n v="14"/>
    <s v="priya.hernandez@northfield-hr.com"/>
    <x v="4"/>
    <x v="0"/>
    <x v="0"/>
    <x v="2"/>
  </r>
  <r>
    <s v="E01908"/>
    <s v="Thomas"/>
    <s v="Lopez"/>
    <x v="0"/>
    <n v="27"/>
    <x v="5"/>
    <x v="1"/>
    <n v="50155"/>
    <d v="2019-10-16T00:00:00"/>
    <n v="6"/>
    <s v="thomas.lopez@northfield-hr.com"/>
    <x v="4"/>
    <x v="0"/>
    <x v="1"/>
    <x v="2"/>
  </r>
  <r>
    <s v="E00085"/>
    <s v="Fatima"/>
    <s v="Anderson"/>
    <x v="0"/>
    <n v="50"/>
    <x v="3"/>
    <x v="8"/>
    <n v="152938"/>
    <d v="2006-07-17T00:00:00"/>
    <n v="20"/>
    <s v="fatima.anderson@northfield-hr.com"/>
    <x v="9"/>
    <x v="1"/>
    <x v="2"/>
    <x v="3"/>
  </r>
  <r>
    <s v="E00228"/>
    <s v="Diego"/>
    <s v="King"/>
    <x v="2"/>
    <n v="49"/>
    <x v="10"/>
    <x v="2"/>
    <n v="191037"/>
    <d v="2007-06-30T00:00:00"/>
    <n v="19"/>
    <s v="diego.king@northfield-hr.com"/>
    <x v="9"/>
    <x v="0"/>
    <x v="2"/>
    <x v="3"/>
  </r>
  <r>
    <s v="E00297"/>
    <s v="Joseph"/>
    <s v="Wright"/>
    <x v="0"/>
    <n v="41"/>
    <x v="5"/>
    <x v="5"/>
    <n v="64376"/>
    <d v="2021-03-21T00:00:00"/>
    <n v="5"/>
    <s v="joseph.wright@northfield-hr.com"/>
    <x v="10"/>
    <x v="1"/>
    <x v="4"/>
    <x v="2"/>
  </r>
  <r>
    <s v="E01002"/>
    <s v="Mateo"/>
    <s v="Young"/>
    <x v="2"/>
    <n v="51"/>
    <x v="5"/>
    <x v="6"/>
    <n v="46456"/>
    <d v="2009-07-13T00:00:00"/>
    <n v="17"/>
    <s v="mateo.young@northfield-hr.com"/>
    <x v="4"/>
    <x v="3"/>
    <x v="5"/>
    <x v="1"/>
  </r>
  <r>
    <s v="E02139"/>
    <s v="Ava"/>
    <s v="Harris"/>
    <x v="0"/>
    <n v="28"/>
    <x v="6"/>
    <x v="4"/>
    <n v="68791"/>
    <d v="2022-04-08T00:00:00"/>
    <n v="4"/>
    <s v="ava.harris@northfield-hr.com"/>
    <x v="0"/>
    <x v="0"/>
    <x v="1"/>
    <x v="2"/>
  </r>
  <r>
    <s v="E00712"/>
    <s v="Emma"/>
    <s v="Williams"/>
    <x v="2"/>
    <n v="48"/>
    <x v="2"/>
    <x v="8"/>
    <n v="111837"/>
    <d v="2006-10-20T00:00:00"/>
    <n v="19"/>
    <s v="emma.williams@northfield-hr.com"/>
    <x v="10"/>
    <x v="3"/>
    <x v="2"/>
    <x v="0"/>
  </r>
  <r>
    <s v="E02802"/>
    <s v="Charles"/>
    <s v="Robinson"/>
    <x v="1"/>
    <n v="47"/>
    <x v="8"/>
    <x v="7"/>
    <n v="85511"/>
    <d v="2024-12-09T00:00:00"/>
    <n v="1"/>
    <s v="charles.robinson@northfield-hr.com"/>
    <x v="13"/>
    <x v="3"/>
    <x v="2"/>
    <x v="2"/>
  </r>
  <r>
    <s v="E02528"/>
    <s v="Linda"/>
    <s v="Lopez"/>
    <x v="2"/>
    <n v="34"/>
    <x v="2"/>
    <x v="5"/>
    <n v="43328"/>
    <d v="2018-07-16T00:00:00"/>
    <n v="8"/>
    <s v="linda.lopez@northfield-hr.com"/>
    <x v="10"/>
    <x v="3"/>
    <x v="6"/>
    <x v="1"/>
  </r>
  <r>
    <s v="E03753"/>
    <s v="David"/>
    <s v="Lewis"/>
    <x v="2"/>
    <n v="41"/>
    <x v="3"/>
    <x v="0"/>
    <n v="79989"/>
    <s v=""/>
    <s v=""/>
    <s v="david.lewis@northfield-hr.com"/>
    <x v="6"/>
    <x v="0"/>
    <x v="4"/>
    <x v="2"/>
  </r>
  <r>
    <s v="E03322"/>
    <s v="Liam"/>
    <s v="Williams"/>
    <x v="2"/>
    <n v="51"/>
    <x v="6"/>
    <x v="1"/>
    <n v="77809.739999999991"/>
    <d v="2005-10-27T00:00:00"/>
    <n v="20"/>
    <s v="liam.williams@northfield-hr.com"/>
    <x v="3"/>
    <x v="3"/>
    <x v="5"/>
    <x v="2"/>
  </r>
  <r>
    <s v="E03182"/>
    <s v="Wei"/>
    <s v="King"/>
    <x v="1"/>
    <n v="44"/>
    <x v="2"/>
    <x v="1"/>
    <n v="41428"/>
    <d v="2020-02-11T00:00:00"/>
    <n v="6"/>
    <s v="wei.king@northfield-hr.com"/>
    <x v="0"/>
    <x v="4"/>
    <x v="4"/>
    <x v="1"/>
  </r>
  <r>
    <s v="E04184"/>
    <s v="Michael"/>
    <s v="Wright"/>
    <x v="2"/>
    <n v="41"/>
    <x v="4"/>
    <x v="3"/>
    <n v="64240"/>
    <d v="2024-05-02T00:00:00"/>
    <n v="2"/>
    <s v="michael.wright@northfield-hr.com"/>
    <x v="6"/>
    <x v="1"/>
    <x v="4"/>
    <x v="2"/>
  </r>
  <r>
    <s v="E01616"/>
    <s v="John"/>
    <s v="Torres"/>
    <x v="0"/>
    <n v="27"/>
    <x v="3"/>
    <x v="1"/>
    <n v="56544"/>
    <d v="2020-08-10T00:00:00"/>
    <n v="6"/>
    <s v="john.torres@northfield-hr.com"/>
    <x v="10"/>
    <x v="3"/>
    <x v="1"/>
    <x v="2"/>
  </r>
  <r>
    <s v="E03025"/>
    <s v="Liam"/>
    <s v="Williams"/>
    <x v="0"/>
    <n v="40"/>
    <x v="0"/>
    <x v="8"/>
    <n v="209892"/>
    <d v="2015-08-23T00:00:00"/>
    <n v="11"/>
    <s v="liam.williams@northfield-hr.com"/>
    <x v="11"/>
    <x v="0"/>
    <x v="3"/>
    <x v="4"/>
  </r>
  <r>
    <s v="E01414"/>
    <s v="William"/>
    <s v="Lopez"/>
    <x v="2"/>
    <n v="37"/>
    <x v="7"/>
    <x v="4"/>
    <n v="72914"/>
    <d v="2020-01-06T00:00:00"/>
    <n v="6"/>
    <s v="william.lopez@northfield-hr.com"/>
    <x v="7"/>
    <x v="0"/>
    <x v="3"/>
    <x v="2"/>
  </r>
  <r>
    <s v="E00764"/>
    <s v="Mateo"/>
    <s v="Williams"/>
    <x v="2"/>
    <n v="53"/>
    <x v="3"/>
    <x v="1"/>
    <n v="56299"/>
    <d v="2008-10-27T00:00:00"/>
    <n v="17"/>
    <s v="mateo.williams@northfield-hr.com"/>
    <x v="5"/>
    <x v="0"/>
    <x v="5"/>
    <x v="2"/>
  </r>
  <r>
    <s v="E00656"/>
    <s v="Noah"/>
    <s v="Hernandez"/>
    <x v="1"/>
    <n v="46"/>
    <x v="5"/>
    <x v="6"/>
    <n v="49501"/>
    <s v=""/>
    <s v=""/>
    <s v="noah.hernandez@northfield-hr.com"/>
    <x v="11"/>
    <x v="0"/>
    <x v="2"/>
    <x v="1"/>
  </r>
  <r>
    <s v="E02658"/>
    <s v="William"/>
    <s v="Jones"/>
    <x v="2"/>
    <n v="49"/>
    <x v="10"/>
    <x v="3"/>
    <n v="97252.5"/>
    <d v="2012-06-12T00:00:00"/>
    <n v="14"/>
    <s v="william.jones@northfield-hr.com"/>
    <x v="1"/>
    <x v="4"/>
    <x v="2"/>
    <x v="2"/>
  </r>
  <r>
    <s v="E03850"/>
    <s v="Patricia"/>
    <s v="Anderson"/>
    <x v="0"/>
    <n v="46"/>
    <x v="6"/>
    <x v="5"/>
    <n v="88025"/>
    <d v="2005-05-17T00:00:00"/>
    <n v="21"/>
    <s v="patricia.anderson@northfield-hr.com"/>
    <x v="9"/>
    <x v="0"/>
    <x v="2"/>
    <x v="2"/>
  </r>
  <r>
    <s v="E04154"/>
    <s v="Thomas"/>
    <s v="Davis"/>
    <x v="1"/>
    <n v="57"/>
    <x v="10"/>
    <x v="0"/>
    <n v="120948"/>
    <d v="2014-03-18T00:00:00"/>
    <n v="12"/>
    <s v="thomas.davis@northfield-hr.com"/>
    <x v="2"/>
    <x v="0"/>
    <x v="0"/>
    <x v="0"/>
  </r>
  <r>
    <s v="E00469"/>
    <s v="Joseph"/>
    <s v="Torres"/>
    <x v="2"/>
    <n v="45"/>
    <x v="3"/>
    <x v="0"/>
    <n v="77596"/>
    <d v="2012-12-16T00:00:00"/>
    <n v="13"/>
    <s v="joseph.torres@northfield-hr.com"/>
    <x v="10"/>
    <x v="1"/>
    <x v="4"/>
    <x v="2"/>
  </r>
  <r>
    <s v="E00158"/>
    <s v="Linda"/>
    <s v="Rodriguez"/>
    <x v="1"/>
    <n v="58"/>
    <x v="7"/>
    <x v="5"/>
    <n v="86146"/>
    <d v="2005-11-01T00:00:00"/>
    <n v="20"/>
    <s v="linda.rodriguez@northfield-hr.com"/>
    <x v="4"/>
    <x v="1"/>
    <x v="0"/>
    <x v="2"/>
  </r>
  <r>
    <s v="E01296"/>
    <s v="Richard"/>
    <s v="Taylor"/>
    <x v="2"/>
    <n v="33"/>
    <x v="1"/>
    <x v="0"/>
    <n v="135726"/>
    <d v="2014-11-20T00:00:00"/>
    <n v="11"/>
    <s v="richard.taylor@northfield-hr.com"/>
    <x v="8"/>
    <x v="1"/>
    <x v="6"/>
    <x v="0"/>
  </r>
  <r>
    <s v="E00498"/>
    <s v="Jessica"/>
    <s v="Walker"/>
    <x v="2"/>
    <n v="55"/>
    <x v="2"/>
    <x v="5"/>
    <n v="44154"/>
    <d v="2006-10-09T00:00:00"/>
    <n v="20"/>
    <s v="jessica.walker@northfield-hr.com"/>
    <x v="12"/>
    <x v="1"/>
    <x v="5"/>
    <x v="1"/>
  </r>
  <r>
    <s v="E02067"/>
    <s v="Elizabeth"/>
    <s v="Sanchez"/>
    <x v="2"/>
    <n v="50"/>
    <x v="4"/>
    <x v="8"/>
    <n v="143601"/>
    <d v="2005-04-25T00:00:00"/>
    <n v="21"/>
    <s v="elizabeth.sanchez@northfield-hr.com"/>
    <x v="12"/>
    <x v="3"/>
    <x v="2"/>
    <x v="0"/>
  </r>
  <r>
    <s v="E02941"/>
    <s v="Elizabeth"/>
    <s v="Nguyen"/>
    <x v="2"/>
    <n v="51"/>
    <x v="4"/>
    <x v="4"/>
    <n v="41193"/>
    <d v="2012-02-01T00:00:00"/>
    <n v="14"/>
    <s v="elizabeth.nguyen@northfield-hr.com"/>
    <x v="9"/>
    <x v="3"/>
    <x v="5"/>
    <x v="1"/>
  </r>
  <r>
    <s v="E03457"/>
    <s v="Michael"/>
    <s v="Torres"/>
    <x v="1"/>
    <n v="49"/>
    <x v="3"/>
    <x v="0"/>
    <n v="79859"/>
    <d v="2008-09-05T00:00:00"/>
    <n v="18"/>
    <s v="michael.torres@northfield-hr.com"/>
    <x v="5"/>
    <x v="3"/>
    <x v="2"/>
    <x v="2"/>
  </r>
  <r>
    <s v="E00374"/>
    <s v="Elizabeth"/>
    <s v="Ramirez"/>
    <x v="2"/>
    <n v="30"/>
    <x v="8"/>
    <x v="1"/>
    <n v="52980"/>
    <s v=""/>
    <s v=""/>
    <s v="elizabeth.ramirez@northfield-hr.com"/>
    <x v="6"/>
    <x v="1"/>
    <x v="1"/>
    <x v="2"/>
  </r>
  <r>
    <s v="E00080"/>
    <s v="Sarah"/>
    <s v="Ramirez"/>
    <x v="2"/>
    <n v="44"/>
    <x v="8"/>
    <x v="3"/>
    <n v="55096"/>
    <d v="2005-08-26T00:00:00"/>
    <n v="21"/>
    <s v="sarah.ramirez@northfield-hr.com"/>
    <x v="12"/>
    <x v="0"/>
    <x v="4"/>
    <x v="2"/>
  </r>
  <r>
    <s v="E01554"/>
    <s v="Thomas"/>
    <s v="Jones"/>
    <x v="1"/>
    <n v="43"/>
    <x v="3"/>
    <x v="4"/>
    <n v="49534"/>
    <d v="2020-03-27T00:00:00"/>
    <n v="6"/>
    <s v="thomas.jones@northfield-hr.com"/>
    <x v="9"/>
    <x v="3"/>
    <x v="4"/>
    <x v="1"/>
  </r>
  <r>
    <s v="E01670"/>
    <s v="Olga"/>
    <s v="Lewis"/>
    <x v="0"/>
    <n v="55"/>
    <x v="6"/>
    <x v="2"/>
    <n v="167996"/>
    <d v="2023-09-22T00:00:00"/>
    <n v="3"/>
    <s v="olga.lewis@northfield-hr.com"/>
    <x v="12"/>
    <x v="0"/>
    <x v="5"/>
    <x v="3"/>
  </r>
  <r>
    <s v="E02132"/>
    <s v="Olga"/>
    <s v="Miller"/>
    <x v="1"/>
    <n v="35"/>
    <x v="8"/>
    <x v="5"/>
    <n v="61524"/>
    <d v="2019-05-14T00:00:00"/>
    <n v="7"/>
    <s v="olga.miller@northfield-hr.com"/>
    <x v="8"/>
    <x v="0"/>
    <x v="6"/>
    <x v="2"/>
  </r>
  <r>
    <s v="E04440"/>
    <s v="Ingrid"/>
    <s v="Williams"/>
    <x v="2"/>
    <n v="44"/>
    <x v="3"/>
    <x v="0"/>
    <n v="88329.82"/>
    <d v="2013-04-12T00:00:00"/>
    <n v="13"/>
    <s v="ingrid.williams@northfield-hr.com"/>
    <x v="3"/>
    <x v="2"/>
    <x v="4"/>
    <x v="2"/>
  </r>
  <r>
    <s v="E00466"/>
    <s v="Aiko"/>
    <s v="Moore"/>
    <x v="1"/>
    <n v="56"/>
    <x v="0"/>
    <x v="3"/>
    <n v="98330"/>
    <d v="2005-02-08T00:00:00"/>
    <n v="21"/>
    <s v="aiko.moore@northfield-hr.com"/>
    <x v="13"/>
    <x v="3"/>
    <x v="0"/>
    <x v="2"/>
  </r>
  <r>
    <s v="E00249"/>
    <s v="Barbara"/>
    <s v="Young"/>
    <x v="0"/>
    <n v="36"/>
    <x v="5"/>
    <x v="4"/>
    <n v="48327"/>
    <d v="2013-06-09T00:00:00"/>
    <n v="13"/>
    <s v="barbara.young@northfield-hr.com"/>
    <x v="11"/>
    <x v="2"/>
    <x v="3"/>
    <x v="1"/>
  </r>
  <r>
    <s v="E00932"/>
    <s v="Sarah"/>
    <s v="Adams"/>
    <x v="0"/>
    <n v="46"/>
    <x v="7"/>
    <x v="3"/>
    <n v="81920"/>
    <s v=""/>
    <s v=""/>
    <s v="sarah.adams@northfield-hr.com"/>
    <x v="9"/>
    <x v="0"/>
    <x v="2"/>
    <x v="2"/>
  </r>
  <r>
    <s v="E01336"/>
    <s v="Michael"/>
    <s v="Nguyen"/>
    <x v="1"/>
    <n v="43"/>
    <x v="2"/>
    <x v="1"/>
    <n v="40792"/>
    <d v="2013-12-08T00:00:00"/>
    <n v="12"/>
    <s v="michael.nguyen@northfield-hr.com"/>
    <x v="6"/>
    <x v="1"/>
    <x v="4"/>
    <x v="1"/>
  </r>
  <r>
    <s v="E04525"/>
    <s v="Aiko"/>
    <s v="Adams"/>
    <x v="1"/>
    <n v="46"/>
    <x v="0"/>
    <x v="4"/>
    <n v="82760"/>
    <s v=""/>
    <s v=""/>
    <s v="aiko.adams@northfield-hr.com"/>
    <x v="5"/>
    <x v="3"/>
    <x v="2"/>
    <x v="2"/>
  </r>
  <r>
    <s v="E01339"/>
    <s v="Mateo"/>
    <s v="Nguyen"/>
    <x v="0"/>
    <n v="27"/>
    <x v="10"/>
    <x v="3"/>
    <n v="113334"/>
    <d v="2021-01-04T00:00:00"/>
    <n v="5"/>
    <s v="mateo.nguyen@northfield-hr.com"/>
    <x v="10"/>
    <x v="3"/>
    <x v="1"/>
    <x v="0"/>
  </r>
  <r>
    <s v="E01407"/>
    <s v="Priya"/>
    <s v="Garcia"/>
    <x v="0"/>
    <n v="34"/>
    <x v="0"/>
    <x v="2"/>
    <n v="212102"/>
    <d v="2024-10-29T00:00:00"/>
    <n v="1"/>
    <s v="priya.garcia@northfield-hr.com"/>
    <x v="11"/>
    <x v="0"/>
    <x v="6"/>
    <x v="4"/>
  </r>
  <r>
    <s v="E01091"/>
    <s v="Ava"/>
    <s v="Robinson"/>
    <x v="0"/>
    <n v="34"/>
    <x v="3"/>
    <x v="4"/>
    <n v="54410.03"/>
    <d v="2014-02-01T00:00:00"/>
    <n v="12"/>
    <s v="ava.robinson@northfield-hr.com"/>
    <x v="10"/>
    <x v="3"/>
    <x v="6"/>
    <x v="2"/>
  </r>
  <r>
    <s v="E04210"/>
    <s v="Sofia"/>
    <s v="Young"/>
    <x v="1"/>
    <n v="32"/>
    <x v="0"/>
    <x v="3"/>
    <n v="98373"/>
    <d v="2024-03-22T00:00:00"/>
    <n v="2"/>
    <s v="sofia.young@northfield-hr.com"/>
    <x v="6"/>
    <x v="3"/>
    <x v="6"/>
    <x v="2"/>
  </r>
  <r>
    <s v="E00743"/>
    <s v="Diego"/>
    <s v="Johnson"/>
    <x v="0"/>
    <n v="47"/>
    <x v="3"/>
    <x v="8"/>
    <n v="158804"/>
    <d v="2008-01-12T00:00:00"/>
    <n v="18"/>
    <s v="diego.johnson@northfield-hr.com"/>
    <x v="4"/>
    <x v="4"/>
    <x v="2"/>
    <x v="3"/>
  </r>
  <r>
    <s v="E02324"/>
    <s v="Wei"/>
    <s v="Smith"/>
    <x v="2"/>
    <n v="54"/>
    <x v="10"/>
    <x v="1"/>
    <n v="83971"/>
    <d v="2009-05-04T00:00:00"/>
    <n v="17"/>
    <s v="wei.smith@northfield-hr.com"/>
    <x v="2"/>
    <x v="2"/>
    <x v="5"/>
    <x v="2"/>
  </r>
  <r>
    <s v="E03602"/>
    <s v="Priya"/>
    <s v="Ramirez"/>
    <x v="2"/>
    <n v="47"/>
    <x v="4"/>
    <x v="5"/>
    <n v="63904"/>
    <d v="2007-11-22T00:00:00"/>
    <n v="18"/>
    <s v="priya.ramirez@northfield-hr.com"/>
    <x v="13"/>
    <x v="3"/>
    <x v="2"/>
    <x v="2"/>
  </r>
  <r>
    <s v="E02124"/>
    <s v="Amara"/>
    <s v="Sanchez"/>
    <x v="2"/>
    <n v="59"/>
    <x v="6"/>
    <x v="1"/>
    <n v="77505.48"/>
    <d v="2015-06-27T00:00:00"/>
    <n v="11"/>
    <s v="amara.sanchez@northfield-hr.com"/>
    <x v="13"/>
    <x v="3"/>
    <x v="0"/>
    <x v="2"/>
  </r>
  <r>
    <s v="E02095"/>
    <s v="Ingrid"/>
    <s v="Brown"/>
    <x v="0"/>
    <n v="37"/>
    <x v="5"/>
    <x v="3"/>
    <n v="62930"/>
    <d v="2014-05-04T00:00:00"/>
    <n v="12"/>
    <s v="ingrid.brown@northfield-hr.com"/>
    <x v="8"/>
    <x v="3"/>
    <x v="3"/>
    <x v="2"/>
  </r>
  <r>
    <s v="E00241"/>
    <s v="Jennifer"/>
    <s v="Ramirez"/>
    <x v="1"/>
    <n v="40"/>
    <x v="10"/>
    <x v="1"/>
    <n v="93532.94"/>
    <d v="2014-08-29T00:00:00"/>
    <n v="12"/>
    <s v="jennifer.ramirez@northfield-hr.com"/>
    <x v="7"/>
    <x v="1"/>
    <x v="3"/>
    <x v="2"/>
  </r>
  <r>
    <s v="E02352"/>
    <s v="Jessica"/>
    <s v="Wright"/>
    <x v="0"/>
    <n v="43"/>
    <x v="10"/>
    <x v="7"/>
    <n v="165895"/>
    <d v="2006-11-16T00:00:00"/>
    <n v="19"/>
    <s v="jessica.wright@northfield-hr.com"/>
    <x v="13"/>
    <x v="0"/>
    <x v="4"/>
    <x v="3"/>
  </r>
  <r>
    <s v="E01371"/>
    <s v="Yuki"/>
    <s v="Young"/>
    <x v="1"/>
    <n v="42"/>
    <x v="3"/>
    <x v="7"/>
    <n v="100736"/>
    <d v="2012-12-24T00:00:00"/>
    <n v="13"/>
    <s v="yuki.young@northfield-hr.com"/>
    <x v="5"/>
    <x v="3"/>
    <x v="4"/>
    <x v="0"/>
  </r>
  <r>
    <s v="E01058"/>
    <s v="Diego"/>
    <s v="Taylor"/>
    <x v="1"/>
    <n v="51"/>
    <x v="4"/>
    <x v="6"/>
    <n v="44257"/>
    <d v="2007-02-20T00:00:00"/>
    <n v="19"/>
    <s v="diego.taylor@northfield-hr.com"/>
    <x v="11"/>
    <x v="2"/>
    <x v="5"/>
    <x v="1"/>
  </r>
  <r>
    <s v="E01223"/>
    <s v="Sarah"/>
    <s v="Gonzalez"/>
    <x v="0"/>
    <n v="40"/>
    <x v="6"/>
    <x v="1"/>
    <n v="73422"/>
    <d v="2018-07-20T00:00:00"/>
    <n v="8"/>
    <s v="sarah.gonzalez@northfield-hr.com"/>
    <x v="2"/>
    <x v="1"/>
    <x v="3"/>
    <x v="2"/>
  </r>
  <r>
    <s v="E00200"/>
    <s v="Sofia"/>
    <s v="Robinson"/>
    <x v="0"/>
    <n v="50"/>
    <x v="5"/>
    <x v="4"/>
    <n v="52217.1"/>
    <d v="2022-01-16T00:00:00"/>
    <n v="4"/>
    <s v="sofia.robinson@northfield-hr.com"/>
    <x v="7"/>
    <x v="0"/>
    <x v="2"/>
    <x v="2"/>
  </r>
  <r>
    <s v="E02281"/>
    <s v="Mary"/>
    <s v="Adams"/>
    <x v="1"/>
    <n v="55"/>
    <x v="10"/>
    <x v="2"/>
    <n v="182419.74"/>
    <d v="2006-04-06T00:00:00"/>
    <n v="20"/>
    <s v="mary.adams@northfield-hr.com"/>
    <x v="2"/>
    <x v="0"/>
    <x v="5"/>
    <x v="3"/>
  </r>
  <r>
    <s v="E02909"/>
    <s v="Ava"/>
    <s v="Adams"/>
    <x v="0"/>
    <n v="39"/>
    <x v="9"/>
    <x v="4"/>
    <n v="66020"/>
    <d v="2012-10-16T00:00:00"/>
    <n v="13"/>
    <s v="ava.adams@northfield-hr.com"/>
    <x v="9"/>
    <x v="3"/>
    <x v="3"/>
    <x v="2"/>
  </r>
  <r>
    <s v="E02221"/>
    <s v="Fatima"/>
    <s v="Robinson"/>
    <x v="2"/>
    <n v="40"/>
    <x v="7"/>
    <x v="1"/>
    <n v="62579"/>
    <d v="2024-11-23T00:00:00"/>
    <n v="1"/>
    <s v="fatima.robinson@northfield-hr.com"/>
    <x v="8"/>
    <x v="1"/>
    <x v="3"/>
    <x v="2"/>
  </r>
  <r>
    <s v="E03836"/>
    <s v="Jessica"/>
    <s v="Ramirez"/>
    <x v="0"/>
    <n v="30"/>
    <x v="8"/>
    <x v="1"/>
    <n v="55331"/>
    <d v="2016-10-18T00:00:00"/>
    <n v="9"/>
    <s v="jessica.ramirez@northfield-hr.com"/>
    <x v="8"/>
    <x v="3"/>
    <x v="1"/>
    <x v="2"/>
  </r>
  <r>
    <s v="E02820"/>
    <s v="Lucas"/>
    <s v="Robinson"/>
    <x v="2"/>
    <n v="40"/>
    <x v="1"/>
    <x v="3"/>
    <n v="97038.720000000001"/>
    <d v="2010-12-28T00:00:00"/>
    <n v="15"/>
    <s v="lucas.robinson@northfield-hr.com"/>
    <x v="10"/>
    <x v="3"/>
    <x v="3"/>
    <x v="2"/>
  </r>
  <r>
    <s v="E03151"/>
    <s v="Liam"/>
    <s v="Ramirez"/>
    <x v="2"/>
    <n v="39"/>
    <x v="6"/>
    <x v="4"/>
    <n v="70969"/>
    <d v="2010-01-13T00:00:00"/>
    <n v="16"/>
    <s v="liam.ramirez@northfield-hr.com"/>
    <x v="10"/>
    <x v="3"/>
    <x v="3"/>
    <x v="2"/>
  </r>
  <r>
    <s v="E04257"/>
    <s v="David"/>
    <s v="Robinson"/>
    <x v="2"/>
    <n v="42"/>
    <x v="7"/>
    <x v="1"/>
    <n v="71536"/>
    <d v="2019-08-02T00:00:00"/>
    <n v="7"/>
    <s v="david.robinson@northfield-hr.com"/>
    <x v="1"/>
    <x v="4"/>
    <x v="4"/>
    <x v="2"/>
  </r>
  <r>
    <s v="E03108"/>
    <s v="Barbara"/>
    <s v="Clark"/>
    <x v="0"/>
    <n v="28"/>
    <x v="3"/>
    <x v="4"/>
    <n v="51300"/>
    <d v="2019-01-12T00:00:00"/>
    <n v="7"/>
    <s v="barbara.clark@northfield-hr.com"/>
    <x v="13"/>
    <x v="0"/>
    <x v="1"/>
    <x v="2"/>
  </r>
  <r>
    <s v="E01974"/>
    <s v="Jennifer"/>
    <s v="Perez"/>
    <x v="2"/>
    <n v="42"/>
    <x v="8"/>
    <x v="1"/>
    <n v="54445"/>
    <d v="2021-11-11T00:00:00"/>
    <n v="4"/>
    <s v="jennifer.perez@northfield-hr.com"/>
    <x v="0"/>
    <x v="0"/>
    <x v="4"/>
    <x v="2"/>
  </r>
  <r>
    <s v="E01376"/>
    <s v="Noah"/>
    <s v="Hernandez"/>
    <x v="1"/>
    <n v="53"/>
    <x v="5"/>
    <x v="8"/>
    <n v="169697"/>
    <d v="2012-07-12T00:00:00"/>
    <n v="14"/>
    <s v="noah.hernandez@northfield-hr.com"/>
    <x v="1"/>
    <x v="0"/>
    <x v="5"/>
    <x v="3"/>
  </r>
  <r>
    <s v="E03969"/>
    <s v="Ava"/>
    <s v="Hill"/>
    <x v="2"/>
    <n v="62"/>
    <x v="3"/>
    <x v="7"/>
    <n v="80195"/>
    <d v="2016-10-09T00:00:00"/>
    <n v="10"/>
    <s v="ava.hill@northfield-hr.com"/>
    <x v="8"/>
    <x v="3"/>
    <x v="7"/>
    <x v="2"/>
  </r>
  <r>
    <s v="E04063"/>
    <s v="Patricia"/>
    <s v="Torres"/>
    <x v="0"/>
    <n v="46"/>
    <x v="0"/>
    <x v="0"/>
    <n v="124001"/>
    <d v="2011-10-23T00:00:00"/>
    <n v="14"/>
    <s v="patricia.torres@northfield-hr.com"/>
    <x v="1"/>
    <x v="1"/>
    <x v="2"/>
    <x v="0"/>
  </r>
  <r>
    <s v="E04446"/>
    <s v="John"/>
    <s v="Ramirez"/>
    <x v="0"/>
    <n v="43"/>
    <x v="2"/>
    <x v="1"/>
    <n v="42155"/>
    <d v="2021-01-26T00:00:00"/>
    <n v="5"/>
    <s v="john.ramirez@northfield-hr.com"/>
    <x v="2"/>
    <x v="0"/>
    <x v="4"/>
    <x v="1"/>
  </r>
  <r>
    <s v="E03558"/>
    <s v="Noah"/>
    <s v="Adams"/>
    <x v="2"/>
    <n v="33"/>
    <x v="2"/>
    <x v="0"/>
    <n v="67698"/>
    <d v="2017-01-23T00:00:00"/>
    <n v="9"/>
    <s v="noah.adams@northfield-hr.com"/>
    <x v="5"/>
    <x v="1"/>
    <x v="6"/>
    <x v="2"/>
  </r>
  <r>
    <s v="E00965"/>
    <s v="Karen"/>
    <s v="Young"/>
    <x v="0"/>
    <n v="57"/>
    <x v="7"/>
    <x v="0"/>
    <n v="110331"/>
    <d v="2021-05-08T00:00:00"/>
    <n v="5"/>
    <s v="karen.young@northfield-hr.com"/>
    <x v="6"/>
    <x v="0"/>
    <x v="0"/>
    <x v="0"/>
  </r>
  <r>
    <s v="E00180"/>
    <s v="Patricia"/>
    <s v="Jackson"/>
    <x v="0"/>
    <n v="43"/>
    <x v="4"/>
    <x v="0"/>
    <n v="80480"/>
    <d v="2012-01-04T00:00:00"/>
    <n v="14"/>
    <s v="patricia.jackson@northfield-hr.com"/>
    <x v="13"/>
    <x v="2"/>
    <x v="4"/>
    <x v="2"/>
  </r>
  <r>
    <s v="E03699"/>
    <s v="Sarah"/>
    <s v="Lopez"/>
    <x v="0"/>
    <n v="39"/>
    <x v="9"/>
    <x v="5"/>
    <n v="72221"/>
    <d v="2021-07-09T00:00:00"/>
    <n v="5"/>
    <s v="sarah.lopez@northfield-hr.com"/>
    <x v="5"/>
    <x v="3"/>
    <x v="3"/>
    <x v="2"/>
  </r>
  <r>
    <s v="E03822"/>
    <s v="Jennifer"/>
    <s v="Brown"/>
    <x v="1"/>
    <n v="38"/>
    <x v="9"/>
    <x v="0"/>
    <n v="72730"/>
    <d v="2021-03-15T00:00:00"/>
    <n v="5"/>
    <s v="jennifer.brown@northfield-hr.com"/>
    <x v="5"/>
    <x v="3"/>
    <x v="3"/>
    <x v="2"/>
  </r>
  <r>
    <s v="E03532"/>
    <s v="Linda"/>
    <s v="Lewis"/>
    <x v="0"/>
    <n v="39"/>
    <x v="8"/>
    <x v="5"/>
    <n v="54700"/>
    <d v="2016-04-10T00:00:00"/>
    <n v="10"/>
    <s v="linda.lewis@northfield-hr.com"/>
    <x v="7"/>
    <x v="4"/>
    <x v="3"/>
    <x v="2"/>
  </r>
  <r>
    <s v="E03900"/>
    <s v="Amara"/>
    <s v="Walker"/>
    <x v="2"/>
    <n v="40"/>
    <x v="1"/>
    <x v="6"/>
    <n v="76877"/>
    <d v="2007-08-31T00:00:00"/>
    <n v="19"/>
    <s v="amara.walker@northfield-hr.com"/>
    <x v="8"/>
    <x v="3"/>
    <x v="3"/>
    <x v="2"/>
  </r>
  <r>
    <s v="E04488"/>
    <s v="Amara"/>
    <s v="Adams"/>
    <x v="0"/>
    <n v="35"/>
    <x v="0"/>
    <x v="1"/>
    <n v="93968.05"/>
    <d v="2019-08-29T00:00:00"/>
    <n v="7"/>
    <s v="amara.adams@northfield-hr.com"/>
    <x v="10"/>
    <x v="0"/>
    <x v="6"/>
    <x v="2"/>
  </r>
  <r>
    <s v="E03239"/>
    <s v="Sarah"/>
    <s v="Harris"/>
    <x v="0"/>
    <n v="44"/>
    <x v="9"/>
    <x v="4"/>
    <n v="44185"/>
    <d v="2010-01-08T00:00:00"/>
    <n v="16"/>
    <s v="sarah.harris@northfield-hr.com"/>
    <x v="10"/>
    <x v="2"/>
    <x v="4"/>
    <x v="1"/>
  </r>
  <r>
    <s v="E02975"/>
    <s v="Sarah"/>
    <s v="Thomas"/>
    <x v="1"/>
    <n v="30"/>
    <x v="10"/>
    <x v="3"/>
    <n v="95549"/>
    <d v="2018-12-07T00:00:00"/>
    <n v="7"/>
    <s v="sarah.thomas@northfield-hr.com"/>
    <x v="2"/>
    <x v="0"/>
    <x v="1"/>
    <x v="2"/>
  </r>
  <r>
    <s v="E03581"/>
    <s v="Joseph"/>
    <s v="Moore"/>
    <x v="0"/>
    <n v="37"/>
    <x v="1"/>
    <x v="4"/>
    <n v="82509"/>
    <d v="2018-03-14T00:00:00"/>
    <n v="8"/>
    <s v="joseph.moore@northfield-hr.com"/>
    <x v="11"/>
    <x v="2"/>
    <x v="3"/>
    <x v="2"/>
  </r>
  <r>
    <s v="E02888"/>
    <s v="Ava"/>
    <s v="Nguyen"/>
    <x v="1"/>
    <n v="24"/>
    <x v="4"/>
    <x v="1"/>
    <n v="58009.35"/>
    <d v="2024-09-04T00:00:00"/>
    <n v="2"/>
    <s v="ava.nguyen@northfield-hr.com"/>
    <x v="9"/>
    <x v="2"/>
    <x v="1"/>
    <x v="2"/>
  </r>
  <r>
    <s v="E02576"/>
    <s v="Jennifer"/>
    <s v="Thompson"/>
    <x v="0"/>
    <n v="49"/>
    <x v="4"/>
    <x v="0"/>
    <n v="92201"/>
    <d v="2006-06-09T00:00:00"/>
    <n v="20"/>
    <s v="jennifer.thompson@northfield-hr.com"/>
    <x v="11"/>
    <x v="0"/>
    <x v="2"/>
    <x v="2"/>
  </r>
  <r>
    <s v="E01420"/>
    <s v="Patricia"/>
    <s v="Wright"/>
    <x v="0"/>
    <n v="51"/>
    <x v="2"/>
    <x v="4"/>
    <n v="41306"/>
    <d v="2011-01-01T00:00:00"/>
    <n v="15"/>
    <s v="patricia.wright@northfield-hr.com"/>
    <x v="8"/>
    <x v="0"/>
    <x v="5"/>
    <x v="1"/>
  </r>
  <r>
    <s v="E03908"/>
    <s v="Richard"/>
    <s v="Brown"/>
    <x v="2"/>
    <n v="39"/>
    <x v="9"/>
    <x v="1"/>
    <n v="56325"/>
    <d v="2011-02-24T00:00:00"/>
    <n v="15"/>
    <s v="richard.brown@northfield-hr.com"/>
    <x v="13"/>
    <x v="2"/>
    <x v="3"/>
    <x v="2"/>
  </r>
  <r>
    <s v="E04674"/>
    <s v="Ingrid"/>
    <s v="Young"/>
    <x v="2"/>
    <n v="45"/>
    <x v="4"/>
    <x v="1"/>
    <n v="58009.35"/>
    <d v="2011-05-27T00:00:00"/>
    <n v="15"/>
    <s v="ingrid.young@northfield-hr.com"/>
    <x v="1"/>
    <x v="0"/>
    <x v="4"/>
    <x v="2"/>
  </r>
  <r>
    <s v="E04607"/>
    <s v="David"/>
    <s v="Ramirez"/>
    <x v="0"/>
    <n v="43"/>
    <x v="2"/>
    <x v="5"/>
    <n v="52659"/>
    <d v="2020-03-10T00:00:00"/>
    <n v="6"/>
    <s v="david.ramirez@northfield-hr.com"/>
    <x v="8"/>
    <x v="3"/>
    <x v="4"/>
    <x v="2"/>
  </r>
  <r>
    <s v="E01861"/>
    <s v="Karen"/>
    <s v="White"/>
    <x v="1"/>
    <n v="55"/>
    <x v="2"/>
    <x v="7"/>
    <n v="77734.55"/>
    <d v="2011-11-14T00:00:00"/>
    <n v="14"/>
    <s v="karen.white@northfield-hr.com"/>
    <x v="13"/>
    <x v="3"/>
    <x v="5"/>
    <x v="2"/>
  </r>
  <r>
    <s v="E00009"/>
    <s v="Fatima"/>
    <s v="Wilson"/>
    <x v="0"/>
    <n v="41"/>
    <x v="6"/>
    <x v="4"/>
    <n v="70472.5"/>
    <d v="2010-12-28T00:00:00"/>
    <n v="15"/>
    <s v="fatima.wilson@northfield-hr.com"/>
    <x v="1"/>
    <x v="1"/>
    <x v="4"/>
    <x v="2"/>
  </r>
  <r>
    <s v="E02895"/>
    <s v="Jennifer"/>
    <s v="Jones"/>
    <x v="1"/>
    <n v="38"/>
    <x v="4"/>
    <x v="1"/>
    <n v="46452"/>
    <d v="2017-02-27T00:00:00"/>
    <n v="9"/>
    <s v="jennifer.jones@northfield-hr.com"/>
    <x v="11"/>
    <x v="0"/>
    <x v="3"/>
    <x v="1"/>
  </r>
  <r>
    <s v="E02848"/>
    <s v="Sofia"/>
    <s v="Moore"/>
    <x v="1"/>
    <n v="43"/>
    <x v="3"/>
    <x v="1"/>
    <n v="66508"/>
    <s v=""/>
    <s v=""/>
    <s v="sofia.moore@northfield-hr.com"/>
    <x v="3"/>
    <x v="4"/>
    <x v="4"/>
    <x v="2"/>
  </r>
  <r>
    <s v="E03665"/>
    <s v="Sofia"/>
    <s v="Martin"/>
    <x v="0"/>
    <n v="52"/>
    <x v="5"/>
    <x v="4"/>
    <n v="52018.05"/>
    <d v="2007-06-30T00:00:00"/>
    <n v="19"/>
    <s v="sofia.martin@northfield-hr.com"/>
    <x v="8"/>
    <x v="1"/>
    <x v="5"/>
    <x v="2"/>
  </r>
  <r>
    <s v="E00145"/>
    <s v="Ingrid"/>
    <s v="Hernandez"/>
    <x v="1"/>
    <n v="42"/>
    <x v="2"/>
    <x v="7"/>
    <n v="73619"/>
    <d v="2014-11-28T00:00:00"/>
    <n v="11"/>
    <s v="ingrid.hernandez@northfield-hr.com"/>
    <x v="13"/>
    <x v="1"/>
    <x v="4"/>
    <x v="2"/>
  </r>
  <r>
    <s v="E02105"/>
    <s v="Susan"/>
    <s v="Lopez"/>
    <x v="1"/>
    <n v="46"/>
    <x v="10"/>
    <x v="0"/>
    <n v="127143"/>
    <d v="2005-12-08T00:00:00"/>
    <n v="20"/>
    <s v="susan.lopez@northfield-hr.com"/>
    <x v="12"/>
    <x v="3"/>
    <x v="2"/>
    <x v="0"/>
  </r>
  <r>
    <s v="E03144"/>
    <s v="Michael"/>
    <s v="Scott"/>
    <x v="1"/>
    <n v="44"/>
    <x v="5"/>
    <x v="4"/>
    <n v="48315"/>
    <d v="2017-05-17T00:00:00"/>
    <n v="9"/>
    <s v="michael.scott@northfield-hr.com"/>
    <x v="1"/>
    <x v="0"/>
    <x v="4"/>
    <x v="1"/>
  </r>
  <r>
    <s v="E00842"/>
    <s v="Liam"/>
    <s v="Torres"/>
    <x v="2"/>
    <n v="41"/>
    <x v="9"/>
    <x v="3"/>
    <n v="95461"/>
    <d v="2017-03-19T00:00:00"/>
    <n v="9"/>
    <s v="liam.torres@northfield-hr.com"/>
    <x v="1"/>
    <x v="0"/>
    <x v="4"/>
    <x v="2"/>
  </r>
  <r>
    <s v="E01129"/>
    <s v="Lucas"/>
    <s v="Thompson"/>
    <x v="1"/>
    <n v="53"/>
    <x v="6"/>
    <x v="1"/>
    <n v="81928"/>
    <d v="2006-01-27T00:00:00"/>
    <n v="20"/>
    <s v="lucas.thompson@northfield-hr.com"/>
    <x v="9"/>
    <x v="3"/>
    <x v="5"/>
    <x v="2"/>
  </r>
  <r>
    <s v="E00152"/>
    <s v="Ingrid"/>
    <s v="White"/>
    <x v="0"/>
    <n v="44"/>
    <x v="1"/>
    <x v="4"/>
    <n v="85578"/>
    <d v="2016-03-04T00:00:00"/>
    <n v="10"/>
    <s v="ingrid.white@northfield-hr.com"/>
    <x v="4"/>
    <x v="3"/>
    <x v="4"/>
    <x v="2"/>
  </r>
  <r>
    <s v="E03592"/>
    <s v="Barbara"/>
    <s v="Wright"/>
    <x v="0"/>
    <n v="44"/>
    <x v="4"/>
    <x v="3"/>
    <n v="66678"/>
    <d v="2010-02-17T00:00:00"/>
    <n v="16"/>
    <s v="barbara.wright@northfield-hr.com"/>
    <x v="7"/>
    <x v="4"/>
    <x v="4"/>
    <x v="2"/>
  </r>
  <r>
    <s v="E01053"/>
    <s v="Sofia"/>
    <s v="Davis"/>
    <x v="1"/>
    <n v="54"/>
    <x v="2"/>
    <x v="0"/>
    <n v="56462.46"/>
    <d v="2021-01-02T00:00:00"/>
    <n v="5"/>
    <s v="sofia.davis@northfield-hr.com"/>
    <x v="3"/>
    <x v="0"/>
    <x v="5"/>
    <x v="2"/>
  </r>
  <r>
    <s v="E01591"/>
    <s v="Liam"/>
    <s v="Martinez"/>
    <x v="1"/>
    <n v="43"/>
    <x v="5"/>
    <x v="3"/>
    <n v="70196"/>
    <d v="2011-11-05T00:00:00"/>
    <n v="14"/>
    <s v="liam.martinez@northfield-hr.com"/>
    <x v="6"/>
    <x v="2"/>
    <x v="4"/>
    <x v="2"/>
  </r>
  <r>
    <s v="E03009"/>
    <s v="Charles"/>
    <s v="Lee"/>
    <x v="2"/>
    <n v="39"/>
    <x v="4"/>
    <x v="1"/>
    <n v="63411"/>
    <d v="2018-05-25T00:00:00"/>
    <n v="8"/>
    <s v="charles.lee@northfield-hr.com"/>
    <x v="3"/>
    <x v="3"/>
    <x v="3"/>
    <x v="2"/>
  </r>
  <r>
    <s v="E02030"/>
    <s v="Priya"/>
    <s v="Thompson"/>
    <x v="1"/>
    <n v="35"/>
    <x v="6"/>
    <x v="0"/>
    <n v="119004"/>
    <d v="2021-09-05T00:00:00"/>
    <n v="5"/>
    <s v="priya.thompson@northfield-hr.com"/>
    <x v="2"/>
    <x v="1"/>
    <x v="6"/>
    <x v="0"/>
  </r>
  <r>
    <s v="E03419"/>
    <s v="Michael"/>
    <s v="Perez"/>
    <x v="0"/>
    <n v="36"/>
    <x v="4"/>
    <x v="1"/>
    <n v="58009.35"/>
    <d v="2011-09-03T00:00:00"/>
    <n v="15"/>
    <s v="michael.perez@northfield-hr.com"/>
    <x v="11"/>
    <x v="0"/>
    <x v="3"/>
    <x v="2"/>
  </r>
  <r>
    <s v="E01808"/>
    <s v="Mateo"/>
    <s v="White"/>
    <x v="2"/>
    <n v="45"/>
    <x v="5"/>
    <x v="4"/>
    <n v="55621"/>
    <d v="2011-07-19T00:00:00"/>
    <n v="15"/>
    <s v="mateo.white@northfield-hr.com"/>
    <x v="9"/>
    <x v="0"/>
    <x v="4"/>
    <x v="2"/>
  </r>
  <r>
    <s v="E02697"/>
    <s v="Mateo"/>
    <s v="Torres"/>
    <x v="0"/>
    <n v="39"/>
    <x v="6"/>
    <x v="3"/>
    <n v="89984.41"/>
    <d v="2023-08-22T00:00:00"/>
    <n v="3"/>
    <s v="mateo.torres@northfield-hr.com"/>
    <x v="10"/>
    <x v="0"/>
    <x v="3"/>
    <x v="2"/>
  </r>
  <r>
    <s v="E03040"/>
    <s v="Mateo"/>
    <s v="Davis"/>
    <x v="0"/>
    <n v="51"/>
    <x v="10"/>
    <x v="4"/>
    <n v="89574.81"/>
    <d v="2006-02-25T00:00:00"/>
    <n v="20"/>
    <s v="mateo.davis@northfield-hr.com"/>
    <x v="2"/>
    <x v="0"/>
    <x v="5"/>
    <x v="2"/>
  </r>
  <r>
    <s v="E00473"/>
    <s v="Ava"/>
    <s v="Smith"/>
    <x v="2"/>
    <n v="35"/>
    <x v="8"/>
    <x v="4"/>
    <n v="56583"/>
    <d v="2018-10-10T00:00:00"/>
    <n v="8"/>
    <s v="ava.smith@northfield-hr.com"/>
    <x v="3"/>
    <x v="3"/>
    <x v="6"/>
    <x v="2"/>
  </r>
  <r>
    <s v="E03290"/>
    <s v="Carlos"/>
    <s v="Ramirez"/>
    <x v="1"/>
    <n v="38"/>
    <x v="3"/>
    <x v="2"/>
    <n v="126007"/>
    <d v="2009-02-25T00:00:00"/>
    <n v="17"/>
    <s v="carlos.ramirez@northfield-hr.com"/>
    <x v="0"/>
    <x v="0"/>
    <x v="3"/>
    <x v="0"/>
  </r>
  <r>
    <s v="E04075"/>
    <s v="Olga"/>
    <s v="Ramirez"/>
    <x v="1"/>
    <n v="32"/>
    <x v="6"/>
    <x v="1"/>
    <n v="78114"/>
    <d v="2021-10-22T00:00:00"/>
    <n v="4"/>
    <s v="olga.ramirez@northfield-hr.com"/>
    <x v="9"/>
    <x v="0"/>
    <x v="6"/>
    <x v="2"/>
  </r>
  <r>
    <s v="E03497"/>
    <s v="Ingrid"/>
    <s v="Thomas"/>
    <x v="1"/>
    <n v="48"/>
    <x v="8"/>
    <x v="7"/>
    <n v="93583"/>
    <d v="2024-03-16T00:00:00"/>
    <n v="2"/>
    <s v="ingrid.thomas@northfield-hr.com"/>
    <x v="7"/>
    <x v="3"/>
    <x v="2"/>
    <x v="2"/>
  </r>
  <r>
    <s v="E00280"/>
    <s v="Lucas"/>
    <s v="Allen"/>
    <x v="0"/>
    <n v="33"/>
    <x v="7"/>
    <x v="5"/>
    <n v="77770.5"/>
    <d v="2015-12-27T00:00:00"/>
    <n v="10"/>
    <s v="lucas.allen@northfield-hr.com"/>
    <x v="1"/>
    <x v="3"/>
    <x v="6"/>
    <x v="2"/>
  </r>
  <r>
    <s v="E01742"/>
    <s v="Barbara"/>
    <s v="Smith"/>
    <x v="1"/>
    <n v="37"/>
    <x v="8"/>
    <x v="1"/>
    <n v="50691"/>
    <d v="2014-12-01T00:00:00"/>
    <n v="11"/>
    <s v="barbara.smith@northfield-hr.com"/>
    <x v="13"/>
    <x v="0"/>
    <x v="3"/>
    <x v="2"/>
  </r>
  <r>
    <s v="E04625"/>
    <s v="Olga"/>
    <s v="Moore"/>
    <x v="1"/>
    <n v="31"/>
    <x v="7"/>
    <x v="2"/>
    <n v="156871"/>
    <d v="2015-12-14T00:00:00"/>
    <n v="10"/>
    <s v="olga.moore@northfield-hr.com"/>
    <x v="12"/>
    <x v="4"/>
    <x v="6"/>
    <x v="3"/>
  </r>
  <r>
    <s v="E02887"/>
    <s v="Mateo"/>
    <s v="Thompson"/>
    <x v="1"/>
    <n v="44"/>
    <x v="9"/>
    <x v="1"/>
    <n v="45611"/>
    <d v="2011-10-06T00:00:00"/>
    <n v="15"/>
    <s v="mateo.thompson@northfield-hr.com"/>
    <x v="8"/>
    <x v="3"/>
    <x v="4"/>
    <x v="1"/>
  </r>
  <r>
    <s v="E01942"/>
    <s v="Mary"/>
    <s v="Wilson"/>
    <x v="0"/>
    <n v="46"/>
    <x v="4"/>
    <x v="6"/>
    <n v="40920"/>
    <d v="2009-01-20T00:00:00"/>
    <n v="17"/>
    <s v="mary.wilson@northfield-hr.com"/>
    <x v="5"/>
    <x v="3"/>
    <x v="2"/>
    <x v="1"/>
  </r>
  <r>
    <s v="E00101"/>
    <s v="Emma"/>
    <s v="Moore"/>
    <x v="2"/>
    <n v="43"/>
    <x v="10"/>
    <x v="1"/>
    <n v="97204.87"/>
    <d v="2010-08-22T00:00:00"/>
    <n v="16"/>
    <s v="emma.moore@northfield-hr.com"/>
    <x v="3"/>
    <x v="2"/>
    <x v="4"/>
    <x v="2"/>
  </r>
  <r>
    <s v="E02805"/>
    <s v="Emma"/>
    <s v="Harris"/>
    <x v="0"/>
    <n v="38"/>
    <x v="7"/>
    <x v="1"/>
    <n v="75247"/>
    <d v="2017-08-23T00:00:00"/>
    <n v="9"/>
    <s v="emma.harris@northfield-hr.com"/>
    <x v="8"/>
    <x v="0"/>
    <x v="3"/>
    <x v="2"/>
  </r>
  <r>
    <s v="E03571"/>
    <s v="John"/>
    <s v="Lewis"/>
    <x v="1"/>
    <n v="41"/>
    <x v="0"/>
    <x v="4"/>
    <n v="61835"/>
    <d v="2012-07-21T00:00:00"/>
    <n v="14"/>
    <s v="john.lewis@northfield-hr.com"/>
    <x v="5"/>
    <x v="1"/>
    <x v="4"/>
    <x v="2"/>
  </r>
  <r>
    <s v="E03685"/>
    <s v="Hiroshi"/>
    <s v="Moore"/>
    <x v="2"/>
    <n v="32"/>
    <x v="7"/>
    <x v="4"/>
    <n v="65732"/>
    <d v="2018-07-30T00:00:00"/>
    <n v="8"/>
    <s v="hiroshi.moore@northfield-hr.com"/>
    <x v="9"/>
    <x v="2"/>
    <x v="6"/>
    <x v="2"/>
  </r>
  <r>
    <s v="E03662"/>
    <s v="Emma"/>
    <s v="Martin"/>
    <x v="2"/>
    <n v="40"/>
    <x v="1"/>
    <x v="0"/>
    <n v="119000"/>
    <d v="2008-01-25T00:00:00"/>
    <n v="18"/>
    <s v="emma.martin@northfield-hr.com"/>
    <x v="6"/>
    <x v="1"/>
    <x v="3"/>
    <x v="0"/>
  </r>
  <r>
    <s v="E00531"/>
    <s v="Karen"/>
    <s v="Clark"/>
    <x v="2"/>
    <n v="34"/>
    <x v="6"/>
    <x v="1"/>
    <n v="81223"/>
    <d v="2013-03-05T00:00:00"/>
    <n v="13"/>
    <s v="karen.clark@northfield-hr.com"/>
    <x v="4"/>
    <x v="3"/>
    <x v="6"/>
    <x v="2"/>
  </r>
  <r>
    <s v="E01887"/>
    <s v="Susan"/>
    <s v="Gonzalez"/>
    <x v="2"/>
    <n v="48"/>
    <x v="6"/>
    <x v="7"/>
    <n v="119523.56"/>
    <d v="2008-08-30T00:00:00"/>
    <n v="18"/>
    <s v="susan.gonzalez@northfield-hr.com"/>
    <x v="12"/>
    <x v="1"/>
    <x v="2"/>
    <x v="0"/>
  </r>
  <r>
    <s v="E00682"/>
    <s v="Carlos"/>
    <s v="White"/>
    <x v="2"/>
    <n v="43"/>
    <x v="9"/>
    <x v="4"/>
    <n v="66020"/>
    <d v="2011-04-10T00:00:00"/>
    <n v="15"/>
    <s v="carlos.white@northfield-hr.com"/>
    <x v="6"/>
    <x v="0"/>
    <x v="4"/>
    <x v="2"/>
  </r>
  <r>
    <s v="E03795"/>
    <s v="Linda"/>
    <s v="Davis"/>
    <x v="0"/>
    <n v="39"/>
    <x v="9"/>
    <x v="3"/>
    <n v="51998.15"/>
    <d v="2011-07-25T00:00:00"/>
    <n v="15"/>
    <s v="linda.davis@northfield-hr.com"/>
    <x v="2"/>
    <x v="0"/>
    <x v="3"/>
    <x v="2"/>
  </r>
  <r>
    <s v="E03945"/>
    <s v="Jennifer"/>
    <s v="Wright"/>
    <x v="1"/>
    <n v="35"/>
    <x v="10"/>
    <x v="4"/>
    <n v="93423.5"/>
    <d v="2015-01-05T00:00:00"/>
    <n v="11"/>
    <s v="jennifer.wright@northfield-hr.com"/>
    <x v="1"/>
    <x v="3"/>
    <x v="6"/>
    <x v="2"/>
  </r>
  <r>
    <s v="E04667"/>
    <s v="Noah"/>
    <s v="Johnson"/>
    <x v="1"/>
    <n v="46"/>
    <x v="3"/>
    <x v="1"/>
    <n v="55811"/>
    <d v="2022-01-15T00:00:00"/>
    <n v="4"/>
    <s v="noah.johnson@northfield-hr.com"/>
    <x v="10"/>
    <x v="3"/>
    <x v="2"/>
    <x v="2"/>
  </r>
  <r>
    <s v="E02019"/>
    <s v="Mohammed"/>
    <s v="Rodriguez"/>
    <x v="0"/>
    <n v="49"/>
    <x v="10"/>
    <x v="0"/>
    <n v="131470"/>
    <d v="2012-01-12T00:00:00"/>
    <n v="14"/>
    <s v="mohammed.rodriguez@northfield-hr.com"/>
    <x v="3"/>
    <x v="1"/>
    <x v="2"/>
    <x v="0"/>
  </r>
  <r>
    <s v="E01097"/>
    <s v="Noah"/>
    <s v="Nguyen"/>
    <x v="1"/>
    <n v="41"/>
    <x v="2"/>
    <x v="3"/>
    <n v="58562.02"/>
    <d v="2009-07-08T00:00:00"/>
    <n v="17"/>
    <s v="noah.nguyen@northfield-hr.com"/>
    <x v="4"/>
    <x v="3"/>
    <x v="4"/>
    <x v="2"/>
  </r>
  <r>
    <s v="E00830"/>
    <s v="Hiroshi"/>
    <s v="Allen"/>
    <x v="1"/>
    <n v="49"/>
    <x v="3"/>
    <x v="2"/>
    <n v="113555"/>
    <d v="2009-08-20T00:00:00"/>
    <n v="17"/>
    <s v="hiroshi.allen@northfield-hr.com"/>
    <x v="11"/>
    <x v="0"/>
    <x v="2"/>
    <x v="0"/>
  </r>
  <r>
    <s v="E02806"/>
    <s v="Mohammed"/>
    <s v="Nguyen"/>
    <x v="0"/>
    <n v="55"/>
    <x v="6"/>
    <x v="0"/>
    <n v="116330"/>
    <s v=""/>
    <s v=""/>
    <s v="mohammed.nguyen@northfield-hr.com"/>
    <x v="9"/>
    <x v="1"/>
    <x v="5"/>
    <x v="0"/>
  </r>
  <r>
    <s v="E03830"/>
    <s v="Joseph"/>
    <s v="Jones"/>
    <x v="1"/>
    <n v="29"/>
    <x v="3"/>
    <x v="0"/>
    <n v="89636"/>
    <s v=""/>
    <s v=""/>
    <s v="joseph.jones@northfield-hr.com"/>
    <x v="13"/>
    <x v="3"/>
    <x v="1"/>
    <x v="2"/>
  </r>
  <r>
    <s v="E04382"/>
    <s v="Sarah"/>
    <s v="Lewis"/>
    <x v="2"/>
    <n v="43"/>
    <x v="7"/>
    <x v="4"/>
    <n v="60001"/>
    <d v="2016-08-09T00:00:00"/>
    <n v="10"/>
    <s v="sarah.lewis@northfield-hr.com"/>
    <x v="12"/>
    <x v="0"/>
    <x v="4"/>
    <x v="2"/>
  </r>
  <r>
    <s v="E03892"/>
    <s v="Michael"/>
    <s v="Lopez"/>
    <x v="1"/>
    <n v="64"/>
    <x v="2"/>
    <x v="1"/>
    <n v="41791.5"/>
    <d v="2011-04-17T00:00:00"/>
    <n v="15"/>
    <s v="michael.lopez@northfield-hr.com"/>
    <x v="9"/>
    <x v="0"/>
    <x v="7"/>
    <x v="1"/>
  </r>
  <r>
    <s v="E00765"/>
    <s v="Emma"/>
    <s v="Smith"/>
    <x v="1"/>
    <n v="39"/>
    <x v="0"/>
    <x v="1"/>
    <n v="84751"/>
    <d v="2013-09-19T00:00:00"/>
    <n v="13"/>
    <s v="emma.smith@northfield-hr.com"/>
    <x v="8"/>
    <x v="0"/>
    <x v="3"/>
    <x v="2"/>
  </r>
  <r>
    <s v="E02768"/>
    <s v="Diego"/>
    <s v="Hernandez"/>
    <x v="1"/>
    <n v="63"/>
    <x v="1"/>
    <x v="4"/>
    <n v="79714"/>
    <d v="2012-11-28T00:00:00"/>
    <n v="13"/>
    <s v="diego.hernandez@northfield-hr.com"/>
    <x v="11"/>
    <x v="3"/>
    <x v="7"/>
    <x v="2"/>
  </r>
  <r>
    <s v="E04329"/>
    <s v="Mary"/>
    <s v="Wright"/>
    <x v="1"/>
    <n v="54"/>
    <x v="10"/>
    <x v="1"/>
    <n v="91809"/>
    <d v="2006-02-12T00:00:00"/>
    <n v="20"/>
    <s v="mary.wright@northfield-hr.com"/>
    <x v="9"/>
    <x v="0"/>
    <x v="5"/>
    <x v="2"/>
  </r>
  <r>
    <s v="E03296"/>
    <s v="Liam"/>
    <s v="Rodriguez"/>
    <x v="2"/>
    <n v="41"/>
    <x v="3"/>
    <x v="3"/>
    <n v="67072"/>
    <d v="2011-04-25T00:00:00"/>
    <n v="15"/>
    <s v="liam.rodriguez@northfield-hr.com"/>
    <x v="3"/>
    <x v="3"/>
    <x v="4"/>
    <x v="2"/>
  </r>
  <r>
    <s v="E02195"/>
    <s v="Mohammed"/>
    <s v="Wilson"/>
    <x v="1"/>
    <n v="43"/>
    <x v="4"/>
    <x v="4"/>
    <n v="51595"/>
    <d v="2012-01-19T00:00:00"/>
    <n v="14"/>
    <s v="mohammed.wilson@northfield-hr.com"/>
    <x v="13"/>
    <x v="0"/>
    <x v="4"/>
    <x v="2"/>
  </r>
  <r>
    <s v="E02358"/>
    <s v="Richard"/>
    <s v="Walker"/>
    <x v="1"/>
    <n v="37"/>
    <x v="0"/>
    <x v="4"/>
    <n v="83842"/>
    <d v="2014-06-11T00:00:00"/>
    <n v="12"/>
    <s v="richard.walker@northfield-hr.com"/>
    <x v="9"/>
    <x v="1"/>
    <x v="3"/>
    <x v="2"/>
  </r>
  <r>
    <s v="E03426"/>
    <s v="David"/>
    <s v="Clark"/>
    <x v="1"/>
    <n v="46"/>
    <x v="9"/>
    <x v="8"/>
    <n v="131093"/>
    <d v="2010-07-27T00:00:00"/>
    <n v="16"/>
    <s v="david.clark@northfield-hr.com"/>
    <x v="13"/>
    <x v="3"/>
    <x v="2"/>
    <x v="0"/>
  </r>
  <r>
    <s v="E03980"/>
    <s v="Sarah"/>
    <s v="Thomas"/>
    <x v="2"/>
    <n v="55"/>
    <x v="3"/>
    <x v="4"/>
    <n v="55654"/>
    <d v="2005-03-01T00:00:00"/>
    <n v="21"/>
    <s v="sarah.thomas@northfield-hr.com"/>
    <x v="1"/>
    <x v="3"/>
    <x v="5"/>
    <x v="2"/>
  </r>
  <r>
    <s v="E00912"/>
    <s v="Susan"/>
    <s v="Moore"/>
    <x v="1"/>
    <n v="48"/>
    <x v="10"/>
    <x v="4"/>
    <n v="87644.53"/>
    <d v="2009-05-06T00:00:00"/>
    <n v="17"/>
    <s v="susan.moore@northfield-hr.com"/>
    <x v="0"/>
    <x v="3"/>
    <x v="2"/>
    <x v="2"/>
  </r>
  <r>
    <s v="E03146"/>
    <s v="Mary"/>
    <s v="Jackson"/>
    <x v="0"/>
    <n v="52"/>
    <x v="6"/>
    <x v="1"/>
    <n v="75022"/>
    <d v="2024-06-06T00:00:00"/>
    <n v="2"/>
    <s v="mary.jackson@northfield-hr.com"/>
    <x v="12"/>
    <x v="2"/>
    <x v="5"/>
    <x v="2"/>
  </r>
  <r>
    <s v="E01000"/>
    <s v="Patricia"/>
    <s v="Jones"/>
    <x v="2"/>
    <n v="30"/>
    <x v="3"/>
    <x v="4"/>
    <n v="54529.24"/>
    <d v="2020-03-18T00:00:00"/>
    <n v="6"/>
    <s v="patricia.jones@northfield-hr.com"/>
    <x v="5"/>
    <x v="1"/>
    <x v="1"/>
    <x v="2"/>
  </r>
  <r>
    <s v="E03654"/>
    <s v="Linda"/>
    <s v="Sanchez"/>
    <x v="0"/>
    <n v="52"/>
    <x v="4"/>
    <x v="0"/>
    <n v="84375"/>
    <d v="2005-09-28T00:00:00"/>
    <n v="21"/>
    <s v="linda.sanchez@northfield-hr.com"/>
    <x v="1"/>
    <x v="1"/>
    <x v="5"/>
    <x v="2"/>
  </r>
  <r>
    <s v="E02484"/>
    <s v="Wei"/>
    <s v="Walker"/>
    <x v="1"/>
    <n v="49"/>
    <x v="6"/>
    <x v="4"/>
    <n v="66820"/>
    <d v="2012-09-13T00:00:00"/>
    <n v="14"/>
    <s v="wei.walker@northfield-hr.com"/>
    <x v="12"/>
    <x v="0"/>
    <x v="2"/>
    <x v="2"/>
  </r>
  <r>
    <s v="E04077"/>
    <s v="Diego"/>
    <s v="Moore"/>
    <x v="2"/>
    <n v="40"/>
    <x v="0"/>
    <x v="0"/>
    <n v="122259"/>
    <d v="2008-04-06T00:00:00"/>
    <n v="18"/>
    <s v="diego.moore@northfield-hr.com"/>
    <x v="5"/>
    <x v="0"/>
    <x v="3"/>
    <x v="0"/>
  </r>
  <r>
    <s v="E02371"/>
    <s v="James"/>
    <s v="Taylor"/>
    <x v="0"/>
    <n v="42"/>
    <x v="10"/>
    <x v="7"/>
    <n v="164038"/>
    <d v="2021-06-13T00:00:00"/>
    <n v="5"/>
    <s v="james.taylor@northfield-hr.com"/>
    <x v="4"/>
    <x v="1"/>
    <x v="4"/>
    <x v="3"/>
  </r>
  <r>
    <s v="E01525"/>
    <s v="Emma"/>
    <s v="Jackson"/>
    <x v="1"/>
    <n v="49"/>
    <x v="9"/>
    <x v="8"/>
    <n v="243206"/>
    <d v="2023-11-17T00:00:00"/>
    <n v="2"/>
    <s v="emma.jackson@northfield-hr.com"/>
    <x v="12"/>
    <x v="2"/>
    <x v="2"/>
    <x v="4"/>
  </r>
  <r>
    <s v="E00034"/>
    <s v="Jennifer"/>
    <s v="Thomas"/>
    <x v="1"/>
    <n v="48"/>
    <x v="10"/>
    <x v="0"/>
    <n v="131470"/>
    <d v="2014-02-12T00:00:00"/>
    <n v="12"/>
    <s v="jennifer.thomas@northfield-hr.com"/>
    <x v="6"/>
    <x v="0"/>
    <x v="2"/>
    <x v="0"/>
  </r>
  <r>
    <s v="E03790"/>
    <s v="Liam"/>
    <s v="Nguyen"/>
    <x v="0"/>
    <n v="25"/>
    <x v="2"/>
    <x v="6"/>
    <n v="36674"/>
    <d v="2023-12-03T00:00:00"/>
    <n v="2"/>
    <s v="liam.nguyen@northfield-hr.com"/>
    <x v="8"/>
    <x v="0"/>
    <x v="1"/>
    <x v="1"/>
  </r>
  <r>
    <s v="E01021"/>
    <s v="Olga"/>
    <s v="Sanchez"/>
    <x v="2"/>
    <n v="33"/>
    <x v="10"/>
    <x v="1"/>
    <n v="89248"/>
    <d v="2019-01-07T00:00:00"/>
    <n v="7"/>
    <s v="olga.sanchez@northfield-hr.com"/>
    <x v="11"/>
    <x v="0"/>
    <x v="6"/>
    <x v="2"/>
  </r>
  <r>
    <s v="E01648"/>
    <s v="Joseph"/>
    <s v="Davis"/>
    <x v="0"/>
    <n v="47"/>
    <x v="0"/>
    <x v="5"/>
    <n v="88537"/>
    <d v="2005-12-11T00:00:00"/>
    <n v="20"/>
    <s v="joseph.davis@northfield-hr.com"/>
    <x v="2"/>
    <x v="3"/>
    <x v="2"/>
    <x v="2"/>
  </r>
  <r>
    <s v="E00734"/>
    <s v="Patricia"/>
    <s v="White"/>
    <x v="0"/>
    <n v="41"/>
    <x v="5"/>
    <x v="3"/>
    <n v="73797"/>
    <d v="2021-09-04T00:00:00"/>
    <n v="5"/>
    <s v="patricia.white@northfield-hr.com"/>
    <x v="12"/>
    <x v="3"/>
    <x v="4"/>
    <x v="2"/>
  </r>
  <r>
    <s v="E04583"/>
    <s v="Mateo"/>
    <s v="Robinson"/>
    <x v="2"/>
    <n v="37"/>
    <x v="0"/>
    <x v="8"/>
    <n v="252868"/>
    <d v="2012-01-06T00:00:00"/>
    <n v="14"/>
    <s v="mateo.robinson@northfield-hr.com"/>
    <x v="4"/>
    <x v="0"/>
    <x v="3"/>
    <x v="4"/>
  </r>
  <r>
    <s v="E03275"/>
    <s v="Priya"/>
    <s v="Wright"/>
    <x v="1"/>
    <n v="43"/>
    <x v="7"/>
    <x v="5"/>
    <n v="77770.5"/>
    <d v="2018-04-02T00:00:00"/>
    <n v="8"/>
    <s v="priya.wright@northfield-hr.com"/>
    <x v="2"/>
    <x v="3"/>
    <x v="4"/>
    <x v="2"/>
  </r>
  <r>
    <s v="E01621"/>
    <s v="Patricia"/>
    <s v="Harris"/>
    <x v="2"/>
    <n v="66"/>
    <x v="3"/>
    <x v="5"/>
    <n v="62522"/>
    <d v="2020-08-07T00:00:00"/>
    <n v="6"/>
    <s v="patricia.harris@northfield-hr.com"/>
    <x v="2"/>
    <x v="0"/>
    <x v="7"/>
    <x v="2"/>
  </r>
  <r>
    <s v="E03136"/>
    <s v="Susan"/>
    <s v="Lee"/>
    <x v="1"/>
    <n v="45"/>
    <x v="3"/>
    <x v="4"/>
    <n v="53648"/>
    <d v="2011-03-26T00:00:00"/>
    <n v="15"/>
    <s v="susan.lee@northfield-hr.com"/>
    <x v="12"/>
    <x v="0"/>
    <x v="4"/>
    <x v="2"/>
  </r>
  <r>
    <s v="E02690"/>
    <s v="Yuki"/>
    <s v="Walker"/>
    <x v="1"/>
    <n v="32"/>
    <x v="0"/>
    <x v="1"/>
    <n v="92495"/>
    <d v="2016-09-22T00:00:00"/>
    <n v="10"/>
    <s v="yuki.walker@northfield-hr.com"/>
    <x v="7"/>
    <x v="4"/>
    <x v="6"/>
    <x v="2"/>
  </r>
  <r>
    <s v="E02708"/>
    <s v="Patricia"/>
    <s v="Robinson"/>
    <x v="1"/>
    <n v="44"/>
    <x v="6"/>
    <x v="1"/>
    <n v="72158"/>
    <d v="2009-09-27T00:00:00"/>
    <n v="17"/>
    <s v="patricia.robinson@northfield-hr.com"/>
    <x v="10"/>
    <x v="0"/>
    <x v="4"/>
    <x v="2"/>
  </r>
  <r>
    <s v="E00298"/>
    <s v="Barbara"/>
    <s v="Williams"/>
    <x v="2"/>
    <n v="32"/>
    <x v="1"/>
    <x v="1"/>
    <n v="92597"/>
    <d v="2022-03-09T00:00:00"/>
    <n v="4"/>
    <s v="barbara.williams@northfield-hr.com"/>
    <x v="6"/>
    <x v="0"/>
    <x v="6"/>
    <x v="2"/>
  </r>
  <r>
    <s v="E02340"/>
    <s v="David"/>
    <s v="Williams"/>
    <x v="1"/>
    <n v="40"/>
    <x v="2"/>
    <x v="1"/>
    <n v="41791.5"/>
    <d v="2021-12-04T00:00:00"/>
    <n v="4"/>
    <s v="david.williams@northfield-hr.com"/>
    <x v="1"/>
    <x v="0"/>
    <x v="3"/>
    <x v="1"/>
  </r>
  <r>
    <s v="E00654"/>
    <s v="Hiroshi"/>
    <s v="Walker"/>
    <x v="1"/>
    <n v="37"/>
    <x v="4"/>
    <x v="5"/>
    <n v="60135"/>
    <d v="2013-04-21T00:00:00"/>
    <n v="13"/>
    <s v="hiroshi.walker@northfield-hr.com"/>
    <x v="11"/>
    <x v="3"/>
    <x v="3"/>
    <x v="2"/>
  </r>
  <r>
    <s v="E03775"/>
    <s v="Richard"/>
    <s v="King"/>
    <x v="0"/>
    <n v="54"/>
    <x v="8"/>
    <x v="0"/>
    <n v="79863.34"/>
    <d v="2019-06-09T00:00:00"/>
    <n v="7"/>
    <s v="richard.king@northfield-hr.com"/>
    <x v="0"/>
    <x v="0"/>
    <x v="5"/>
    <x v="2"/>
  </r>
  <r>
    <s v="E01256"/>
    <s v="Aiko"/>
    <s v="Gonzalez"/>
    <x v="1"/>
    <n v="43"/>
    <x v="3"/>
    <x v="4"/>
    <n v="57380"/>
    <d v="2013-05-28T00:00:00"/>
    <n v="13"/>
    <s v="aiko.gonzalez@northfield-hr.com"/>
    <x v="3"/>
    <x v="0"/>
    <x v="4"/>
    <x v="2"/>
  </r>
  <r>
    <s v="E04521"/>
    <s v="Michael"/>
    <s v="Lopez"/>
    <x v="1"/>
    <n v="60"/>
    <x v="5"/>
    <x v="2"/>
    <n v="119842.08"/>
    <d v="2006-04-03T00:00:00"/>
    <n v="20"/>
    <s v="michael.lopez@northfield-hr.com"/>
    <x v="3"/>
    <x v="3"/>
    <x v="0"/>
    <x v="0"/>
  </r>
  <r>
    <s v="E00231"/>
    <s v="Charles"/>
    <s v="Ramirez"/>
    <x v="1"/>
    <n v="38"/>
    <x v="8"/>
    <x v="6"/>
    <n v="53693"/>
    <d v="2018-10-16T00:00:00"/>
    <n v="7"/>
    <s v="charles.ramirez@northfield-hr.com"/>
    <x v="13"/>
    <x v="0"/>
    <x v="3"/>
    <x v="2"/>
  </r>
  <r>
    <s v="E03277"/>
    <s v="Richard"/>
    <s v="Wilson"/>
    <x v="1"/>
    <n v="30"/>
    <x v="4"/>
    <x v="0"/>
    <n v="80480"/>
    <d v="2021-12-28T00:00:00"/>
    <n v="4"/>
    <s v="richard.wilson@northfield-hr.com"/>
    <x v="2"/>
    <x v="3"/>
    <x v="1"/>
    <x v="2"/>
  </r>
  <r>
    <s v="E03231"/>
    <s v="Charles"/>
    <s v="Hernandez"/>
    <x v="0"/>
    <n v="25"/>
    <x v="1"/>
    <x v="4"/>
    <n v="78290"/>
    <d v="2024-10-21T00:00:00"/>
    <n v="1"/>
    <s v="charles.hernandez@northfield-hr.com"/>
    <x v="11"/>
    <x v="0"/>
    <x v="1"/>
    <x v="2"/>
  </r>
  <r>
    <s v="E00692"/>
    <s v="Wei"/>
    <s v="Anderson"/>
    <x v="2"/>
    <n v="45"/>
    <x v="5"/>
    <x v="4"/>
    <n v="61795"/>
    <d v="2012-09-02T00:00:00"/>
    <n v="14"/>
    <s v="wei.anderson@northfield-hr.com"/>
    <x v="8"/>
    <x v="0"/>
    <x v="4"/>
    <x v="2"/>
  </r>
  <r>
    <s v="E02755"/>
    <s v="Aiko"/>
    <s v="Lee"/>
    <x v="2"/>
    <n v="55"/>
    <x v="5"/>
    <x v="3"/>
    <n v="63917"/>
    <d v="2007-02-12T00:00:00"/>
    <n v="19"/>
    <s v="aiko.lee@northfield-hr.com"/>
    <x v="12"/>
    <x v="0"/>
    <x v="5"/>
    <x v="2"/>
  </r>
  <r>
    <s v="E04004"/>
    <s v="Liam"/>
    <s v="Ramirez"/>
    <x v="2"/>
    <n v="52"/>
    <x v="9"/>
    <x v="3"/>
    <n v="58991"/>
    <d v="2018-03-19T00:00:00"/>
    <n v="8"/>
    <s v="liam.ramirez@northfield-hr.com"/>
    <x v="11"/>
    <x v="3"/>
    <x v="5"/>
    <x v="2"/>
  </r>
  <r>
    <s v="E00970"/>
    <s v="Patricia"/>
    <s v="Martinez"/>
    <x v="2"/>
    <n v="38"/>
    <x v="7"/>
    <x v="4"/>
    <n v="65732"/>
    <d v="2015-05-05T00:00:00"/>
    <n v="11"/>
    <s v="patricia.martinez@northfield-hr.com"/>
    <x v="1"/>
    <x v="0"/>
    <x v="3"/>
    <x v="2"/>
  </r>
  <r>
    <s v="E00634"/>
    <s v="Fatima"/>
    <s v="Young"/>
    <x v="2"/>
    <n v="28"/>
    <x v="6"/>
    <x v="0"/>
    <n v="109517"/>
    <d v="2024-11-24T00:00:00"/>
    <n v="1"/>
    <s v="fatima.young@northfield-hr.com"/>
    <x v="7"/>
    <x v="4"/>
    <x v="1"/>
    <x v="0"/>
  </r>
  <r>
    <s v="E04093"/>
    <s v="Liam"/>
    <s v="Sanchez"/>
    <x v="0"/>
    <n v="39"/>
    <x v="0"/>
    <x v="3"/>
    <n v="103343.67999999999"/>
    <d v="2010-10-28T00:00:00"/>
    <n v="15"/>
    <s v="liam.sanchez@northfield-hr.com"/>
    <x v="3"/>
    <x v="2"/>
    <x v="3"/>
    <x v="0"/>
  </r>
  <r>
    <s v="E04078"/>
    <s v="Michael"/>
    <s v="Johnson"/>
    <x v="2"/>
    <n v="53"/>
    <x v="5"/>
    <x v="7"/>
    <n v="99891.36"/>
    <d v="2007-08-05T00:00:00"/>
    <n v="19"/>
    <s v="michael.johnson@northfield-hr.com"/>
    <x v="1"/>
    <x v="3"/>
    <x v="5"/>
    <x v="2"/>
  </r>
  <r>
    <s v="E01322"/>
    <s v="Wei"/>
    <s v="Martinez"/>
    <x v="0"/>
    <n v="48"/>
    <x v="4"/>
    <x v="4"/>
    <n v="51595"/>
    <d v="2009-09-22T00:00:00"/>
    <n v="17"/>
    <s v="wei.martinez@northfield-hr.com"/>
    <x v="10"/>
    <x v="3"/>
    <x v="2"/>
    <x v="2"/>
  </r>
  <r>
    <s v="E01832"/>
    <s v="Thomas"/>
    <s v="Torres"/>
    <x v="2"/>
    <n v="41"/>
    <x v="6"/>
    <x v="0"/>
    <n v="113800"/>
    <d v="2018-02-05T00:00:00"/>
    <n v="8"/>
    <s v="thomas.torres@northfield-hr.com"/>
    <x v="5"/>
    <x v="3"/>
    <x v="4"/>
    <x v="0"/>
  </r>
  <r>
    <s v="E02179"/>
    <s v="Diego"/>
    <s v="Jones"/>
    <x v="2"/>
    <n v="34"/>
    <x v="6"/>
    <x v="4"/>
    <n v="73562.259999999995"/>
    <s v=""/>
    <s v=""/>
    <s v="diego.jones@northfield-hr.com"/>
    <x v="12"/>
    <x v="3"/>
    <x v="6"/>
    <x v="2"/>
  </r>
  <r>
    <s v="E01418"/>
    <s v="James"/>
    <s v="Miller"/>
    <x v="0"/>
    <n v="35"/>
    <x v="0"/>
    <x v="4"/>
    <n v="81678"/>
    <d v="2021-07-06T00:00:00"/>
    <n v="5"/>
    <s v="james.miller@northfield-hr.com"/>
    <x v="10"/>
    <x v="0"/>
    <x v="6"/>
    <x v="2"/>
  </r>
  <r>
    <s v="E01783"/>
    <s v="Aiko"/>
    <s v="Walker"/>
    <x v="1"/>
    <n v="38"/>
    <x v="1"/>
    <x v="1"/>
    <n v="92055.360000000001"/>
    <d v="2010-09-11T00:00:00"/>
    <n v="16"/>
    <s v="aiko.walker@northfield-hr.com"/>
    <x v="12"/>
    <x v="0"/>
    <x v="3"/>
    <x v="2"/>
  </r>
  <r>
    <s v="E03508"/>
    <s v="Jessica"/>
    <s v="Clark"/>
    <x v="1"/>
    <n v="42"/>
    <x v="2"/>
    <x v="4"/>
    <n v="39791"/>
    <d v="2006-09-01T00:00:00"/>
    <n v="20"/>
    <s v="jessica.clark@northfield-hr.com"/>
    <x v="7"/>
    <x v="0"/>
    <x v="4"/>
    <x v="1"/>
  </r>
  <r>
    <s v="E00130"/>
    <s v="Lucas"/>
    <s v="Rodriguez"/>
    <x v="1"/>
    <n v="45"/>
    <x v="8"/>
    <x v="7"/>
    <n v="93583"/>
    <d v="2011-03-14T00:00:00"/>
    <n v="15"/>
    <s v="lucas.rodriguez@northfield-hr.com"/>
    <x v="9"/>
    <x v="3"/>
    <x v="4"/>
    <x v="2"/>
  </r>
  <r>
    <s v="E04119"/>
    <s v="Liam"/>
    <s v="Thomas"/>
    <x v="0"/>
    <n v="49"/>
    <x v="2"/>
    <x v="3"/>
    <n v="54086"/>
    <d v="2005-07-03T00:00:00"/>
    <n v="21"/>
    <s v="liam.thomas@northfield-hr.com"/>
    <x v="9"/>
    <x v="2"/>
    <x v="2"/>
    <x v="2"/>
  </r>
  <r>
    <s v="E01653"/>
    <s v="Carlos"/>
    <s v="Perez"/>
    <x v="2"/>
    <n v="48"/>
    <x v="6"/>
    <x v="5"/>
    <n v="92486"/>
    <d v="2019-08-17T00:00:00"/>
    <n v="7"/>
    <s v="carlos.perez@northfield-hr.com"/>
    <x v="13"/>
    <x v="0"/>
    <x v="2"/>
    <x v="2"/>
  </r>
  <r>
    <s v="E01484"/>
    <s v="Liam"/>
    <s v="King"/>
    <x v="2"/>
    <n v="51"/>
    <x v="6"/>
    <x v="0"/>
    <n v="113616"/>
    <d v="2007-07-18T00:00:00"/>
    <n v="19"/>
    <s v="liam.king@northfield-hr.com"/>
    <x v="2"/>
    <x v="0"/>
    <x v="5"/>
    <x v="0"/>
  </r>
  <r>
    <s v="E02276"/>
    <s v="Susan"/>
    <s v="Hernandez"/>
    <x v="2"/>
    <n v="46"/>
    <x v="1"/>
    <x v="7"/>
    <n v="158382"/>
    <d v="2007-03-11T00:00:00"/>
    <n v="19"/>
    <s v="susan.hernandez@northfield-hr.com"/>
    <x v="9"/>
    <x v="1"/>
    <x v="2"/>
    <x v="3"/>
  </r>
  <r>
    <s v="E00878"/>
    <s v="Fatima"/>
    <s v="Anderson"/>
    <x v="0"/>
    <n v="51"/>
    <x v="5"/>
    <x v="6"/>
    <n v="51628"/>
    <d v="2011-05-10T00:00:00"/>
    <n v="15"/>
    <s v="fatima.anderson@northfield-hr.com"/>
    <x v="4"/>
    <x v="0"/>
    <x v="5"/>
    <x v="2"/>
  </r>
  <r>
    <s v="E03526"/>
    <s v="Carlos"/>
    <s v="Scott"/>
    <x v="2"/>
    <n v="41"/>
    <x v="4"/>
    <x v="4"/>
    <n v="54949"/>
    <d v="2021-01-26T00:00:00"/>
    <n v="5"/>
    <s v="carlos.scott@northfield-hr.com"/>
    <x v="7"/>
    <x v="3"/>
    <x v="4"/>
    <x v="2"/>
  </r>
  <r>
    <s v="E02017"/>
    <s v="Barbara"/>
    <s v="Harris"/>
    <x v="2"/>
    <n v="31"/>
    <x v="8"/>
    <x v="4"/>
    <n v="44759.85"/>
    <d v="2024-10-12T00:00:00"/>
    <n v="1"/>
    <s v="barbara.harris@northfield-hr.com"/>
    <x v="2"/>
    <x v="0"/>
    <x v="6"/>
    <x v="1"/>
  </r>
  <r>
    <s v="E00427"/>
    <s v="Ingrid"/>
    <s v="Lopez"/>
    <x v="2"/>
    <n v="49"/>
    <x v="0"/>
    <x v="3"/>
    <n v="98373"/>
    <d v="2022-12-04T00:00:00"/>
    <n v="3"/>
    <s v="ingrid.lopez@northfield-hr.com"/>
    <x v="0"/>
    <x v="4"/>
    <x v="2"/>
    <x v="2"/>
  </r>
  <r>
    <s v="E00627"/>
    <s v="Mohammed"/>
    <s v="White"/>
    <x v="0"/>
    <n v="62"/>
    <x v="10"/>
    <x v="3"/>
    <n v="92665.25"/>
    <d v="2005-03-28T00:00:00"/>
    <n v="21"/>
    <s v="mohammed.white@northfield-hr.com"/>
    <x v="8"/>
    <x v="0"/>
    <x v="7"/>
    <x v="2"/>
  </r>
  <r>
    <s v="E01590"/>
    <s v="Sofia"/>
    <s v="White"/>
    <x v="0"/>
    <n v="43"/>
    <x v="5"/>
    <x v="2"/>
    <n v="126991"/>
    <d v="2011-05-03T00:00:00"/>
    <n v="15"/>
    <s v="sofia.white@northfield-hr.com"/>
    <x v="12"/>
    <x v="0"/>
    <x v="4"/>
    <x v="0"/>
  </r>
  <r>
    <s v="E02224"/>
    <s v="Hiroshi"/>
    <s v="Moore"/>
    <x v="1"/>
    <n v="59"/>
    <x v="5"/>
    <x v="4"/>
    <n v="48997.24"/>
    <d v="2005-07-22T00:00:00"/>
    <n v="21"/>
    <s v="hiroshi.moore@northfield-hr.com"/>
    <x v="11"/>
    <x v="0"/>
    <x v="0"/>
    <x v="1"/>
  </r>
  <r>
    <s v="E02218"/>
    <s v="David"/>
    <s v="Martin"/>
    <x v="2"/>
    <n v="44"/>
    <x v="2"/>
    <x v="0"/>
    <n v="59638.98"/>
    <d v="2010-06-26T00:00:00"/>
    <n v="16"/>
    <s v="david.martin@northfield-hr.com"/>
    <x v="2"/>
    <x v="4"/>
    <x v="4"/>
    <x v="2"/>
  </r>
  <r>
    <s v="E04484"/>
    <s v="Sofia"/>
    <s v="Wright"/>
    <x v="0"/>
    <n v="40"/>
    <x v="8"/>
    <x v="4"/>
    <n v="47867.1"/>
    <d v="2020-03-05T00:00:00"/>
    <n v="6"/>
    <s v="sofia.wright@northfield-hr.com"/>
    <x v="13"/>
    <x v="1"/>
    <x v="3"/>
    <x v="1"/>
  </r>
  <r>
    <s v="E01486"/>
    <s v="Yuki"/>
    <s v="Miller"/>
    <x v="1"/>
    <n v="37"/>
    <x v="4"/>
    <x v="5"/>
    <n v="50821"/>
    <d v="2023-01-29T00:00:00"/>
    <n v="3"/>
    <s v="yuki.miller@northfield-hr.com"/>
    <x v="10"/>
    <x v="2"/>
    <x v="3"/>
    <x v="2"/>
  </r>
  <r>
    <s v="E01740"/>
    <s v="Liam"/>
    <s v="Thompson"/>
    <x v="1"/>
    <n v="51"/>
    <x v="5"/>
    <x v="5"/>
    <n v="67722"/>
    <d v="2005-07-27T00:00:00"/>
    <n v="21"/>
    <s v="liam.thompson@northfield-hr.com"/>
    <x v="10"/>
    <x v="0"/>
    <x v="5"/>
    <x v="2"/>
  </r>
  <r>
    <s v="E02481"/>
    <s v="Yuki"/>
    <s v="Jackson"/>
    <x v="1"/>
    <n v="34"/>
    <x v="6"/>
    <x v="0"/>
    <n v="107682"/>
    <d v="2019-04-26T00:00:00"/>
    <n v="7"/>
    <s v="yuki.jackson@northfield-hr.com"/>
    <x v="3"/>
    <x v="3"/>
    <x v="6"/>
    <x v="0"/>
  </r>
  <r>
    <s v="E02585"/>
    <s v="Charles"/>
    <s v="Miller"/>
    <x v="2"/>
    <n v="39"/>
    <x v="0"/>
    <x v="5"/>
    <n v="91994"/>
    <d v="2013-07-27T00:00:00"/>
    <n v="13"/>
    <s v="charles.miller@northfield-hr.com"/>
    <x v="0"/>
    <x v="0"/>
    <x v="3"/>
    <x v="2"/>
  </r>
  <r>
    <s v="E02894"/>
    <s v="Carlos"/>
    <s v="Scott"/>
    <x v="2"/>
    <n v="57"/>
    <x v="5"/>
    <x v="1"/>
    <n v="55322"/>
    <d v="2009-03-30T00:00:00"/>
    <n v="17"/>
    <s v="carlos.scott@northfield-hr.com"/>
    <x v="4"/>
    <x v="3"/>
    <x v="0"/>
    <x v="2"/>
  </r>
  <r>
    <s v="E00150"/>
    <s v="David"/>
    <s v="Miller"/>
    <x v="0"/>
    <n v="44"/>
    <x v="8"/>
    <x v="5"/>
    <n v="61772"/>
    <d v="2019-07-01T00:00:00"/>
    <n v="7"/>
    <s v="david.miller@northfield-hr.com"/>
    <x v="5"/>
    <x v="0"/>
    <x v="4"/>
    <x v="2"/>
  </r>
  <r>
    <s v="E00677"/>
    <s v="Lucas"/>
    <s v="Moore"/>
    <x v="2"/>
    <n v="45"/>
    <x v="2"/>
    <x v="4"/>
    <n v="42567"/>
    <d v="2009-12-25T00:00:00"/>
    <n v="16"/>
    <s v="lucas.moore@northfield-hr.com"/>
    <x v="9"/>
    <x v="3"/>
    <x v="4"/>
    <x v="1"/>
  </r>
  <r>
    <s v="E01262"/>
    <s v="John"/>
    <s v="Wilson"/>
    <x v="2"/>
    <n v="49"/>
    <x v="0"/>
    <x v="1"/>
    <n v="90793"/>
    <d v="2011-07-10T00:00:00"/>
    <n v="15"/>
    <s v="john.wilson@northfield-hr.com"/>
    <x v="9"/>
    <x v="3"/>
    <x v="2"/>
    <x v="2"/>
  </r>
  <r>
    <s v="E03466"/>
    <s v="Elizabeth"/>
    <s v="Hill"/>
    <x v="1"/>
    <n v="46"/>
    <x v="0"/>
    <x v="5"/>
    <n v="91866"/>
    <d v="2022-12-09T00:00:00"/>
    <n v="3"/>
    <s v="elizabeth.hill@northfield-hr.com"/>
    <x v="8"/>
    <x v="0"/>
    <x v="2"/>
    <x v="2"/>
  </r>
  <r>
    <s v="E00013"/>
    <s v="Priya"/>
    <s v="Wilson"/>
    <x v="0"/>
    <n v="39"/>
    <x v="0"/>
    <x v="0"/>
    <n v="121851.65"/>
    <d v="2016-03-13T00:00:00"/>
    <n v="10"/>
    <s v="priya.wilson@northfield-hr.com"/>
    <x v="12"/>
    <x v="1"/>
    <x v="3"/>
    <x v="0"/>
  </r>
  <r>
    <s v="E01834"/>
    <s v="William"/>
    <s v="Torres"/>
    <x v="0"/>
    <n v="43"/>
    <x v="7"/>
    <x v="2"/>
    <n v="156871"/>
    <d v="2011-02-11T00:00:00"/>
    <n v="15"/>
    <s v="william.torres@northfield-hr.com"/>
    <x v="6"/>
    <x v="3"/>
    <x v="4"/>
    <x v="3"/>
  </r>
  <r>
    <s v="E03249"/>
    <s v="Olga"/>
    <s v="Johnson"/>
    <x v="1"/>
    <n v="49"/>
    <x v="2"/>
    <x v="8"/>
    <n v="111756"/>
    <d v="2006-01-01T00:00:00"/>
    <n v="20"/>
    <s v="olga.johnson@northfield-hr.com"/>
    <x v="11"/>
    <x v="4"/>
    <x v="2"/>
    <x v="0"/>
  </r>
  <r>
    <s v="E01492"/>
    <s v="James"/>
    <s v="Clark"/>
    <x v="1"/>
    <n v="61"/>
    <x v="4"/>
    <x v="6"/>
    <n v="50812.77"/>
    <d v="2005-08-05T00:00:00"/>
    <n v="21"/>
    <s v="james.clark@northfield-hr.com"/>
    <x v="5"/>
    <x v="0"/>
    <x v="7"/>
    <x v="2"/>
  </r>
  <r>
    <s v="E02728"/>
    <s v="Priya"/>
    <s v="Anderson"/>
    <x v="2"/>
    <n v="51"/>
    <x v="7"/>
    <x v="2"/>
    <n v="159772"/>
    <d v="2022-11-23T00:00:00"/>
    <n v="3"/>
    <s v="priya.anderson@northfield-hr.com"/>
    <x v="8"/>
    <x v="1"/>
    <x v="5"/>
    <x v="3"/>
  </r>
  <r>
    <s v="E03687"/>
    <s v="Noah"/>
    <s v="Martinez"/>
    <x v="1"/>
    <n v="25"/>
    <x v="6"/>
    <x v="4"/>
    <n v="69976"/>
    <d v="2022-09-03T00:00:00"/>
    <n v="4"/>
    <s v="noah.martinez@northfield-hr.com"/>
    <x v="8"/>
    <x v="0"/>
    <x v="1"/>
    <x v="2"/>
  </r>
  <r>
    <s v="E01425"/>
    <s v="Liam"/>
    <s v="King"/>
    <x v="2"/>
    <n v="32"/>
    <x v="9"/>
    <x v="4"/>
    <n v="66020"/>
    <d v="2018-06-14T00:00:00"/>
    <n v="8"/>
    <s v="liam.king@northfield-hr.com"/>
    <x v="2"/>
    <x v="3"/>
    <x v="6"/>
    <x v="2"/>
  </r>
  <r>
    <s v="E04606"/>
    <s v="Mateo"/>
    <s v="Ramirez"/>
    <x v="2"/>
    <n v="46"/>
    <x v="4"/>
    <x v="2"/>
    <n v="100765"/>
    <d v="2007-11-05T00:00:00"/>
    <n v="18"/>
    <s v="mateo.ramirez@northfield-hr.com"/>
    <x v="9"/>
    <x v="0"/>
    <x v="2"/>
    <x v="0"/>
  </r>
  <r>
    <s v="E04596"/>
    <s v="John"/>
    <s v="Wilson"/>
    <x v="0"/>
    <n v="27"/>
    <x v="5"/>
    <x v="4"/>
    <n v="48738.79"/>
    <d v="2020-09-01T00:00:00"/>
    <n v="6"/>
    <s v="john.wilson@northfield-hr.com"/>
    <x v="5"/>
    <x v="0"/>
    <x v="1"/>
    <x v="1"/>
  </r>
  <r>
    <s v="E00732"/>
    <s v="Aiko"/>
    <s v="Young"/>
    <x v="0"/>
    <n v="29"/>
    <x v="5"/>
    <x v="4"/>
    <n v="51819"/>
    <d v="2018-12-30T00:00:00"/>
    <n v="7"/>
    <s v="aiko.young@northfield-hr.com"/>
    <x v="1"/>
    <x v="3"/>
    <x v="1"/>
    <x v="2"/>
  </r>
  <r>
    <s v="E01232"/>
    <s v="Wei"/>
    <s v="Torres"/>
    <x v="0"/>
    <n v="25"/>
    <x v="1"/>
    <x v="2"/>
    <n v="187464"/>
    <s v=""/>
    <s v=""/>
    <s v="wei.torres@northfield-hr.com"/>
    <x v="7"/>
    <x v="1"/>
    <x v="1"/>
    <x v="3"/>
  </r>
  <r>
    <s v="E01635"/>
    <s v="Aiko"/>
    <s v="Lewis"/>
    <x v="1"/>
    <n v="44"/>
    <x v="3"/>
    <x v="0"/>
    <n v="86065"/>
    <d v="2010-01-13T00:00:00"/>
    <n v="16"/>
    <s v="aiko.lewis@northfield-hr.com"/>
    <x v="3"/>
    <x v="0"/>
    <x v="4"/>
    <x v="2"/>
  </r>
  <r>
    <s v="E03937"/>
    <s v="Olga"/>
    <s v="Taylor"/>
    <x v="2"/>
    <n v="48"/>
    <x v="8"/>
    <x v="7"/>
    <n v="106942"/>
    <d v="2005-11-08T00:00:00"/>
    <n v="20"/>
    <s v="olga.taylor@northfield-hr.com"/>
    <x v="10"/>
    <x v="0"/>
    <x v="2"/>
    <x v="0"/>
  </r>
  <r>
    <s v="E01211"/>
    <s v="Priya"/>
    <s v="Thomas"/>
    <x v="1"/>
    <n v="49"/>
    <x v="7"/>
    <x v="0"/>
    <n v="109895.84"/>
    <d v="2019-02-13T00:00:00"/>
    <n v="7"/>
    <s v="priya.thomas@northfield-hr.com"/>
    <x v="9"/>
    <x v="0"/>
    <x v="2"/>
    <x v="0"/>
  </r>
  <r>
    <s v="E03269"/>
    <s v="Amara"/>
    <s v="Hernandez"/>
    <x v="0"/>
    <n v="44"/>
    <x v="3"/>
    <x v="4"/>
    <n v="51047"/>
    <d v="2021-08-22T00:00:00"/>
    <n v="5"/>
    <s v="amara.hernandez@northfield-hr.com"/>
    <x v="11"/>
    <x v="1"/>
    <x v="4"/>
    <x v="2"/>
  </r>
  <r>
    <s v="E01935"/>
    <s v="Sarah"/>
    <s v="Moore"/>
    <x v="2"/>
    <n v="47"/>
    <x v="5"/>
    <x v="0"/>
    <n v="81502"/>
    <d v="2019-05-13T00:00:00"/>
    <n v="7"/>
    <s v="sarah.moore@northfield-hr.com"/>
    <x v="11"/>
    <x v="0"/>
    <x v="2"/>
    <x v="2"/>
  </r>
  <r>
    <s v="E00554"/>
    <s v="Charles"/>
    <s v="White"/>
    <x v="0"/>
    <n v="41"/>
    <x v="1"/>
    <x v="0"/>
    <n v="129554"/>
    <d v="2012-06-01T00:00:00"/>
    <n v="14"/>
    <s v="charles.white@northfield-hr.com"/>
    <x v="12"/>
    <x v="3"/>
    <x v="4"/>
    <x v="0"/>
  </r>
  <r>
    <s v="E00492"/>
    <s v="Michael"/>
    <s v="Johnson"/>
    <x v="1"/>
    <n v="54"/>
    <x v="0"/>
    <x v="3"/>
    <n v="94940"/>
    <d v="2008-10-31T00:00:00"/>
    <n v="17"/>
    <s v="michael.johnson@northfield-hr.com"/>
    <x v="8"/>
    <x v="0"/>
    <x v="5"/>
    <x v="2"/>
  </r>
  <r>
    <s v="E02963"/>
    <s v="Robert"/>
    <s v="Lee"/>
    <x v="1"/>
    <n v="44"/>
    <x v="5"/>
    <x v="4"/>
    <n v="45311.98"/>
    <d v="2011-01-23T00:00:00"/>
    <n v="15"/>
    <s v="robert.lee@northfield-hr.com"/>
    <x v="3"/>
    <x v="1"/>
    <x v="4"/>
    <x v="1"/>
  </r>
  <r>
    <s v="E02330"/>
    <s v="John"/>
    <s v="Miller"/>
    <x v="0"/>
    <n v="38"/>
    <x v="4"/>
    <x v="3"/>
    <n v="64240"/>
    <d v="2017-04-21T00:00:00"/>
    <n v="9"/>
    <s v="john.miller@northfield-hr.com"/>
    <x v="6"/>
    <x v="3"/>
    <x v="3"/>
    <x v="2"/>
  </r>
  <r>
    <s v="E02196"/>
    <s v="Joseph"/>
    <s v="Harris"/>
    <x v="0"/>
    <n v="46"/>
    <x v="8"/>
    <x v="6"/>
    <n v="48311"/>
    <d v="2024-08-09T00:00:00"/>
    <n v="2"/>
    <s v="joseph.harris@northfield-hr.com"/>
    <x v="6"/>
    <x v="1"/>
    <x v="2"/>
    <x v="1"/>
  </r>
  <r>
    <s v="E03065"/>
    <s v="Olga"/>
    <s v="Harris"/>
    <x v="2"/>
    <n v="44"/>
    <x v="1"/>
    <x v="5"/>
    <n v="88797.22"/>
    <d v="2005-02-08T00:00:00"/>
    <n v="21"/>
    <s v="olga.harris@northfield-hr.com"/>
    <x v="13"/>
    <x v="1"/>
    <x v="4"/>
    <x v="2"/>
  </r>
  <r>
    <s v="E00658"/>
    <s v="Ava"/>
    <s v="Hill"/>
    <x v="2"/>
    <n v="24"/>
    <x v="5"/>
    <x v="0"/>
    <n v="80667"/>
    <s v=""/>
    <s v=""/>
    <s v="ava.hill@northfield-hr.com"/>
    <x v="0"/>
    <x v="0"/>
    <x v="1"/>
    <x v="2"/>
  </r>
  <r>
    <s v="E02375"/>
    <s v="William"/>
    <s v="Johnson"/>
    <x v="1"/>
    <n v="38"/>
    <x v="7"/>
    <x v="1"/>
    <n v="65324"/>
    <d v="2024-09-22T00:00:00"/>
    <n v="2"/>
    <s v="william.johnson@northfield-hr.com"/>
    <x v="12"/>
    <x v="3"/>
    <x v="3"/>
    <x v="2"/>
  </r>
  <r>
    <s v="E02226"/>
    <s v="Carlos"/>
    <s v="Brown"/>
    <x v="0"/>
    <n v="33"/>
    <x v="0"/>
    <x v="1"/>
    <n v="84707.520000000004"/>
    <d v="2018-02-19T00:00:00"/>
    <n v="8"/>
    <s v="carlos.brown@northfield-hr.com"/>
    <x v="0"/>
    <x v="1"/>
    <x v="6"/>
    <x v="2"/>
  </r>
  <r>
    <s v="E04265"/>
    <s v="Diego"/>
    <s v="Walker"/>
    <x v="0"/>
    <n v="33"/>
    <x v="9"/>
    <x v="3"/>
    <n v="58991"/>
    <s v=""/>
    <s v=""/>
    <s v="diego.walker@northfield-hr.com"/>
    <x v="5"/>
    <x v="3"/>
    <x v="6"/>
    <x v="2"/>
  </r>
  <r>
    <s v="E01171"/>
    <s v="Carlos"/>
    <s v="Gonzalez"/>
    <x v="2"/>
    <n v="63"/>
    <x v="3"/>
    <x v="4"/>
    <n v="58339"/>
    <d v="2005-03-18T00:00:00"/>
    <n v="21"/>
    <s v="carlos.gonzalez@northfield-hr.com"/>
    <x v="3"/>
    <x v="3"/>
    <x v="7"/>
    <x v="2"/>
  </r>
  <r>
    <s v="E00133"/>
    <s v="Aiko"/>
    <s v="Robinson"/>
    <x v="2"/>
    <n v="25"/>
    <x v="10"/>
    <x v="0"/>
    <n v="133742"/>
    <d v="2024-03-07T00:00:00"/>
    <n v="2"/>
    <s v="aiko.robinson@northfield-hr.com"/>
    <x v="3"/>
    <x v="1"/>
    <x v="1"/>
    <x v="0"/>
  </r>
  <r>
    <s v="E00472"/>
    <s v="Barbara"/>
    <s v="Young"/>
    <x v="1"/>
    <n v="56"/>
    <x v="2"/>
    <x v="5"/>
    <n v="50497"/>
    <d v="2007-01-10T00:00:00"/>
    <n v="19"/>
    <s v="barbara.young@northfield-hr.com"/>
    <x v="5"/>
    <x v="0"/>
    <x v="0"/>
    <x v="2"/>
  </r>
  <r>
    <s v="E03226"/>
    <s v="Sofia"/>
    <s v="Perez"/>
    <x v="2"/>
    <n v="47"/>
    <x v="0"/>
    <x v="7"/>
    <n v="143791"/>
    <d v="2010-09-18T00:00:00"/>
    <n v="16"/>
    <s v="sofia.perez@northfield-hr.com"/>
    <x v="2"/>
    <x v="0"/>
    <x v="2"/>
    <x v="0"/>
  </r>
  <r>
    <s v="E01406"/>
    <s v="Susan"/>
    <s v="Wright"/>
    <x v="1"/>
    <n v="52"/>
    <x v="8"/>
    <x v="8"/>
    <n v="137899.69"/>
    <d v="2005-01-12T00:00:00"/>
    <n v="21"/>
    <s v="susan.wright@northfield-hr.com"/>
    <x v="8"/>
    <x v="0"/>
    <x v="5"/>
    <x v="0"/>
  </r>
  <r>
    <s v="E02877"/>
    <s v="Mateo"/>
    <s v="Adams"/>
    <x v="0"/>
    <n v="27"/>
    <x v="0"/>
    <x v="1"/>
    <n v="98014.7"/>
    <d v="2023-08-11T00:00:00"/>
    <n v="3"/>
    <s v="mateo.adams@northfield-hr.com"/>
    <x v="7"/>
    <x v="3"/>
    <x v="1"/>
    <x v="2"/>
  </r>
  <r>
    <s v="E04505"/>
    <s v="David"/>
    <s v="Thomas"/>
    <x v="2"/>
    <n v="49"/>
    <x v="9"/>
    <x v="4"/>
    <n v="56599"/>
    <d v="2015-10-25T00:00:00"/>
    <n v="10"/>
    <s v="david.thomas@northfield-hr.com"/>
    <x v="6"/>
    <x v="2"/>
    <x v="2"/>
    <x v="2"/>
  </r>
  <r>
    <s v="E04693"/>
    <s v="Sarah"/>
    <s v="Lee"/>
    <x v="2"/>
    <n v="41"/>
    <x v="3"/>
    <x v="4"/>
    <n v="52054"/>
    <d v="2012-07-31T00:00:00"/>
    <n v="14"/>
    <s v="sarah.lee@northfield-hr.com"/>
    <x v="10"/>
    <x v="3"/>
    <x v="4"/>
    <x v="2"/>
  </r>
  <r>
    <s v="E02827"/>
    <s v="John"/>
    <s v="Martin"/>
    <x v="1"/>
    <n v="49"/>
    <x v="1"/>
    <x v="6"/>
    <n v="75203.97"/>
    <d v="2012-03-04T00:00:00"/>
    <n v="14"/>
    <s v="john.martin@northfield-hr.com"/>
    <x v="6"/>
    <x v="3"/>
    <x v="2"/>
    <x v="2"/>
  </r>
  <r>
    <s v="E00288"/>
    <s v="Richard"/>
    <s v="Thomas"/>
    <x v="2"/>
    <n v="28"/>
    <x v="7"/>
    <x v="5"/>
    <n v="83175"/>
    <s v=""/>
    <s v=""/>
    <s v="richard.thomas@northfield-hr.com"/>
    <x v="4"/>
    <x v="0"/>
    <x v="1"/>
    <x v="2"/>
  </r>
  <r>
    <s v="E01870"/>
    <s v="Olga"/>
    <s v="Martinez"/>
    <x v="1"/>
    <n v="24"/>
    <x v="5"/>
    <x v="1"/>
    <n v="54146"/>
    <s v=""/>
    <s v=""/>
    <s v="olga.martinez@northfield-hr.com"/>
    <x v="4"/>
    <x v="3"/>
    <x v="1"/>
    <x v="2"/>
  </r>
  <r>
    <s v="E03115"/>
    <s v="Lucas"/>
    <s v="King"/>
    <x v="2"/>
    <n v="45"/>
    <x v="3"/>
    <x v="7"/>
    <n v="103968.73"/>
    <d v="2011-12-31T00:00:00"/>
    <n v="14"/>
    <s v="lucas.king@northfield-hr.com"/>
    <x v="6"/>
    <x v="0"/>
    <x v="4"/>
    <x v="0"/>
  </r>
  <r>
    <s v="E03626"/>
    <s v="Amara"/>
    <s v="Clark"/>
    <x v="1"/>
    <n v="30"/>
    <x v="6"/>
    <x v="4"/>
    <n v="74194"/>
    <d v="2022-02-02T00:00:00"/>
    <n v="4"/>
    <s v="amara.clark@northfield-hr.com"/>
    <x v="8"/>
    <x v="1"/>
    <x v="1"/>
    <x v="2"/>
  </r>
  <r>
    <s v="E02313"/>
    <s v="Elizabeth"/>
    <s v="Wilson"/>
    <x v="2"/>
    <n v="50"/>
    <x v="2"/>
    <x v="6"/>
    <n v="39494.410000000003"/>
    <d v="2012-12-03T00:00:00"/>
    <n v="13"/>
    <s v="elizabeth.wilson@northfield-hr.com"/>
    <x v="3"/>
    <x v="3"/>
    <x v="2"/>
    <x v="1"/>
  </r>
  <r>
    <s v="E04335"/>
    <s v="Mohammed"/>
    <s v="Wilson"/>
    <x v="2"/>
    <n v="45"/>
    <x v="0"/>
    <x v="0"/>
    <n v="131324"/>
    <d v="2010-02-08T00:00:00"/>
    <n v="16"/>
    <s v="mohammed.wilson@northfield-hr.com"/>
    <x v="9"/>
    <x v="2"/>
    <x v="4"/>
    <x v="0"/>
  </r>
  <r>
    <s v="E01619"/>
    <s v="Fatima"/>
    <s v="Ramirez"/>
    <x v="2"/>
    <n v="39"/>
    <x v="10"/>
    <x v="1"/>
    <n v="102116"/>
    <d v="2011-10-22T00:00:00"/>
    <n v="14"/>
    <s v="fatima.ramirez@northfield-hr.com"/>
    <x v="9"/>
    <x v="3"/>
    <x v="3"/>
    <x v="0"/>
  </r>
  <r>
    <s v="E00995"/>
    <s v="Amara"/>
    <s v="Miller"/>
    <x v="0"/>
    <n v="42"/>
    <x v="1"/>
    <x v="1"/>
    <n v="81112.27"/>
    <d v="2008-10-14T00:00:00"/>
    <n v="17"/>
    <s v="amara.miller@northfield-hr.com"/>
    <x v="0"/>
    <x v="0"/>
    <x v="4"/>
    <x v="2"/>
  </r>
  <r>
    <s v="E01804"/>
    <s v="Charles"/>
    <s v="Hill"/>
    <x v="2"/>
    <n v="48"/>
    <x v="8"/>
    <x v="4"/>
    <n v="46224.26"/>
    <d v="2018-03-10T00:00:00"/>
    <n v="8"/>
    <s v="charles.hill@northfield-hr.com"/>
    <x v="12"/>
    <x v="3"/>
    <x v="2"/>
    <x v="1"/>
  </r>
  <r>
    <s v="E02643"/>
    <s v="Mary"/>
    <s v="Miller"/>
    <x v="1"/>
    <n v="42"/>
    <x v="0"/>
    <x v="4"/>
    <n v="94088"/>
    <d v="2008-12-19T00:00:00"/>
    <n v="17"/>
    <s v="mary.miller@northfield-hr.com"/>
    <x v="4"/>
    <x v="3"/>
    <x v="4"/>
    <x v="2"/>
  </r>
  <r>
    <s v="E03001"/>
    <s v="Ava"/>
    <s v="Johnson"/>
    <x v="0"/>
    <n v="50"/>
    <x v="9"/>
    <x v="4"/>
    <n v="66020"/>
    <d v="2007-08-28T00:00:00"/>
    <n v="19"/>
    <s v="ava.johnson@northfield-hr.com"/>
    <x v="11"/>
    <x v="0"/>
    <x v="2"/>
    <x v="2"/>
  </r>
  <r>
    <s v="E03536"/>
    <s v="Priya"/>
    <s v="Lee"/>
    <x v="1"/>
    <n v="36"/>
    <x v="2"/>
    <x v="3"/>
    <n v="55262"/>
    <d v="2018-04-23T00:00:00"/>
    <n v="8"/>
    <s v="priya.lee@northfield-hr.com"/>
    <x v="11"/>
    <x v="2"/>
    <x v="3"/>
    <x v="2"/>
  </r>
  <r>
    <s v="E02709"/>
    <s v="Lucas"/>
    <s v="Hernandez"/>
    <x v="0"/>
    <n v="29"/>
    <x v="2"/>
    <x v="8"/>
    <n v="111675"/>
    <d v="2018-09-15T00:00:00"/>
    <n v="8"/>
    <s v="lucas.hernandez@northfield-hr.com"/>
    <x v="13"/>
    <x v="1"/>
    <x v="1"/>
    <x v="0"/>
  </r>
  <r>
    <s v="E03912"/>
    <s v="Susan"/>
    <s v="Moore"/>
    <x v="2"/>
    <n v="40"/>
    <x v="3"/>
    <x v="5"/>
    <n v="62430"/>
    <d v="2020-12-05T00:00:00"/>
    <n v="5"/>
    <s v="susan.moore@northfield-hr.com"/>
    <x v="1"/>
    <x v="0"/>
    <x v="3"/>
    <x v="2"/>
  </r>
  <r>
    <s v="E02108"/>
    <s v="James"/>
    <s v="Wilson"/>
    <x v="1"/>
    <n v="43"/>
    <x v="10"/>
    <x v="4"/>
    <n v="89574.81"/>
    <d v="2024-04-19T00:00:00"/>
    <n v="2"/>
    <s v="james.wilson@northfield-hr.com"/>
    <x v="13"/>
    <x v="0"/>
    <x v="4"/>
    <x v="2"/>
  </r>
  <r>
    <s v="E03045"/>
    <s v="Mohammed"/>
    <s v="King"/>
    <x v="1"/>
    <n v="56"/>
    <x v="1"/>
    <x v="3"/>
    <n v="101858.75"/>
    <d v="2006-11-11T00:00:00"/>
    <n v="19"/>
    <s v="mohammed.king@northfield-hr.com"/>
    <x v="2"/>
    <x v="3"/>
    <x v="0"/>
    <x v="0"/>
  </r>
  <r>
    <s v="E00417"/>
    <s v="Ava"/>
    <s v="Jones"/>
    <x v="1"/>
    <n v="43"/>
    <x v="4"/>
    <x v="6"/>
    <n v="44257"/>
    <d v="2013-08-05T00:00:00"/>
    <n v="13"/>
    <s v="ava.jones@northfield-hr.com"/>
    <x v="0"/>
    <x v="3"/>
    <x v="4"/>
    <x v="1"/>
  </r>
  <r>
    <s v="E00978"/>
    <s v="John"/>
    <s v="Davis"/>
    <x v="1"/>
    <n v="51"/>
    <x v="5"/>
    <x v="1"/>
    <n v="53141"/>
    <d v="2005-05-23T00:00:00"/>
    <n v="21"/>
    <s v="john.davis@northfield-hr.com"/>
    <x v="6"/>
    <x v="0"/>
    <x v="5"/>
    <x v="2"/>
  </r>
  <r>
    <s v="E02418"/>
    <s v="Chidi"/>
    <s v="Thomas"/>
    <x v="1"/>
    <n v="38"/>
    <x v="4"/>
    <x v="5"/>
    <n v="59311"/>
    <d v="2012-05-30T00:00:00"/>
    <n v="14"/>
    <s v="chidi.thomas@northfield-hr.com"/>
    <x v="7"/>
    <x v="2"/>
    <x v="3"/>
    <x v="2"/>
  </r>
  <r>
    <s v="E00506"/>
    <s v="Ava"/>
    <s v="Williams"/>
    <x v="1"/>
    <n v="39"/>
    <x v="2"/>
    <x v="5"/>
    <n v="53058.79"/>
    <d v="2011-03-07T00:00:00"/>
    <n v="15"/>
    <s v="ava.williams@northfield-hr.com"/>
    <x v="12"/>
    <x v="0"/>
    <x v="3"/>
    <x v="2"/>
  </r>
  <r>
    <s v="E04153"/>
    <s v="Lucas"/>
    <s v="Miller"/>
    <x v="0"/>
    <n v="45"/>
    <x v="2"/>
    <x v="1"/>
    <n v="46074"/>
    <d v="2014-03-03T00:00:00"/>
    <n v="12"/>
    <s v="lucas.miller@northfield-hr.com"/>
    <x v="12"/>
    <x v="2"/>
    <x v="4"/>
    <x v="1"/>
  </r>
  <r>
    <s v="E04256"/>
    <s v="Yuki"/>
    <s v="Rodriguez"/>
    <x v="0"/>
    <n v="43"/>
    <x v="7"/>
    <x v="3"/>
    <n v="81920"/>
    <d v="2024-05-26T00:00:00"/>
    <n v="2"/>
    <s v="yuki.rodriguez@northfield-hr.com"/>
    <x v="1"/>
    <x v="2"/>
    <x v="4"/>
    <x v="2"/>
  </r>
  <r>
    <s v="E03942"/>
    <s v="Patricia"/>
    <s v="Harris"/>
    <x v="2"/>
    <n v="37"/>
    <x v="1"/>
    <x v="3"/>
    <n v="99448.735000000001"/>
    <d v="2018-06-03T00:00:00"/>
    <n v="8"/>
    <s v="patricia.harris@northfield-hr.com"/>
    <x v="3"/>
    <x v="0"/>
    <x v="3"/>
    <x v="2"/>
  </r>
  <r>
    <s v="E00415"/>
    <s v="Jennifer"/>
    <s v="Miller"/>
    <x v="1"/>
    <n v="51"/>
    <x v="8"/>
    <x v="3"/>
    <n v="58853"/>
    <d v="2009-10-15T00:00:00"/>
    <n v="16"/>
    <s v="jennifer.miller@northfield-hr.com"/>
    <x v="6"/>
    <x v="2"/>
    <x v="5"/>
    <x v="2"/>
  </r>
  <r>
    <s v="E04149"/>
    <s v="Thomas"/>
    <s v="Miller"/>
    <x v="1"/>
    <n v="41"/>
    <x v="10"/>
    <x v="1"/>
    <n v="109424"/>
    <d v="2012-09-07T00:00:00"/>
    <n v="14"/>
    <s v="thomas.miller@northfield-hr.com"/>
    <x v="4"/>
    <x v="3"/>
    <x v="4"/>
    <x v="0"/>
  </r>
  <r>
    <s v="E01184"/>
    <s v="Jessica"/>
    <s v="Miller"/>
    <x v="2"/>
    <n v="37"/>
    <x v="6"/>
    <x v="0"/>
    <n v="105764"/>
    <d v="2010-07-05T00:00:00"/>
    <n v="16"/>
    <s v="jessica.miller@northfield-hr.com"/>
    <x v="13"/>
    <x v="3"/>
    <x v="3"/>
    <x v="0"/>
  </r>
  <r>
    <s v="E00486"/>
    <s v="Priya"/>
    <s v="Taylor"/>
    <x v="1"/>
    <n v="51"/>
    <x v="3"/>
    <x v="1"/>
    <n v="59100"/>
    <d v="2006-08-31T00:00:00"/>
    <n v="20"/>
    <s v="priya.taylor@northfield-hr.com"/>
    <x v="13"/>
    <x v="0"/>
    <x v="5"/>
    <x v="2"/>
  </r>
  <r>
    <s v="E00894"/>
    <s v="Fatima"/>
    <s v="Young"/>
    <x v="1"/>
    <n v="30"/>
    <x v="5"/>
    <x v="5"/>
    <n v="60466"/>
    <d v="2024-11-08T00:00:00"/>
    <n v="1"/>
    <s v="fatima.young@northfield-hr.com"/>
    <x v="8"/>
    <x v="0"/>
    <x v="1"/>
    <x v="2"/>
  </r>
  <r>
    <s v="E00806"/>
    <s v="Sarah"/>
    <s v="Perez"/>
    <x v="0"/>
    <n v="34"/>
    <x v="2"/>
    <x v="4"/>
    <n v="39847.53"/>
    <d v="2014-04-13T00:00:00"/>
    <n v="12"/>
    <s v="sarah.perez@northfield-hr.com"/>
    <x v="11"/>
    <x v="0"/>
    <x v="6"/>
    <x v="1"/>
  </r>
  <r>
    <s v="E00556"/>
    <s v="Yuki"/>
    <s v="Moore"/>
    <x v="0"/>
    <n v="59"/>
    <x v="6"/>
    <x v="7"/>
    <n v="125555.04"/>
    <d v="2007-02-01T00:00:00"/>
    <n v="19"/>
    <s v="yuki.moore@northfield-hr.com"/>
    <x v="13"/>
    <x v="3"/>
    <x v="0"/>
    <x v="0"/>
  </r>
  <r>
    <s v="E03826"/>
    <s v="Yuki"/>
    <s v="Anderson"/>
    <x v="1"/>
    <n v="49"/>
    <x v="0"/>
    <x v="6"/>
    <n v="79105.425000000003"/>
    <d v="2010-11-21T00:00:00"/>
    <n v="15"/>
    <s v="yuki.anderson@northfield-hr.com"/>
    <x v="1"/>
    <x v="0"/>
    <x v="2"/>
    <x v="2"/>
  </r>
  <r>
    <s v="E01198"/>
    <s v="Wei"/>
    <s v="Gonzalez"/>
    <x v="0"/>
    <n v="34"/>
    <x v="8"/>
    <x v="0"/>
    <n v="74897"/>
    <d v="2015-03-09T00:00:00"/>
    <n v="11"/>
    <s v="wei.gonzalez@northfield-hr.com"/>
    <x v="1"/>
    <x v="3"/>
    <x v="6"/>
    <x v="2"/>
  </r>
  <r>
    <s v="E04254"/>
    <s v="Mary"/>
    <s v="Martinez"/>
    <x v="0"/>
    <n v="47"/>
    <x v="5"/>
    <x v="4"/>
    <n v="57119"/>
    <d v="2008-07-28T00:00:00"/>
    <n v="18"/>
    <s v="mary.martinez@northfield-hr.com"/>
    <x v="1"/>
    <x v="3"/>
    <x v="2"/>
    <x v="2"/>
  </r>
  <r>
    <s v="E04059"/>
    <s v="Susan"/>
    <s v="Garcia"/>
    <x v="1"/>
    <n v="41"/>
    <x v="2"/>
    <x v="1"/>
    <n v="39695"/>
    <d v="2013-03-22T00:00:00"/>
    <n v="13"/>
    <s v="susan.garcia@northfield-hr.com"/>
    <x v="0"/>
    <x v="0"/>
    <x v="4"/>
    <x v="1"/>
  </r>
  <r>
    <s v="E01294"/>
    <s v="Carlos"/>
    <s v="Lopez"/>
    <x v="0"/>
    <n v="53"/>
    <x v="4"/>
    <x v="4"/>
    <n v="45617"/>
    <d v="2008-01-06T00:00:00"/>
    <n v="18"/>
    <s v="carlos.lopez@northfield-hr.com"/>
    <x v="3"/>
    <x v="0"/>
    <x v="5"/>
    <x v="1"/>
  </r>
  <r>
    <s v="E02222"/>
    <s v="Fatima"/>
    <s v="Allen"/>
    <x v="0"/>
    <n v="44"/>
    <x v="5"/>
    <x v="5"/>
    <n v="64737"/>
    <d v="2015-09-14T00:00:00"/>
    <n v="11"/>
    <s v="fatima.allen@northfield-hr.com"/>
    <x v="5"/>
    <x v="1"/>
    <x v="4"/>
    <x v="2"/>
  </r>
  <r>
    <s v="E03505"/>
    <s v="Thomas"/>
    <s v="Jones"/>
    <x v="0"/>
    <n v="52"/>
    <x v="7"/>
    <x v="0"/>
    <n v="112323"/>
    <d v="2018-03-16T00:00:00"/>
    <n v="8"/>
    <s v="thomas.jones@northfield-hr.com"/>
    <x v="7"/>
    <x v="0"/>
    <x v="5"/>
    <x v="0"/>
  </r>
  <r>
    <s v="E03655"/>
    <s v="Jessica"/>
    <s v="Jackson"/>
    <x v="1"/>
    <n v="47"/>
    <x v="0"/>
    <x v="5"/>
    <n v="89767"/>
    <d v="2007-09-27T00:00:00"/>
    <n v="19"/>
    <s v="jessica.jackson@northfield-hr.com"/>
    <x v="10"/>
    <x v="3"/>
    <x v="2"/>
    <x v="2"/>
  </r>
  <r>
    <s v="E02060"/>
    <s v="Patricia"/>
    <s v="Adams"/>
    <x v="2"/>
    <n v="46"/>
    <x v="6"/>
    <x v="7"/>
    <n v="119523.56"/>
    <d v="2006-10-17T00:00:00"/>
    <n v="19"/>
    <s v="patricia.adams@northfield-hr.com"/>
    <x v="8"/>
    <x v="3"/>
    <x v="2"/>
    <x v="0"/>
  </r>
  <r>
    <s v="E03007"/>
    <s v="Barbara"/>
    <s v="Lopez"/>
    <x v="1"/>
    <n v="48"/>
    <x v="9"/>
    <x v="7"/>
    <n v="129536"/>
    <d v="2007-10-21T00:00:00"/>
    <n v="18"/>
    <s v="barbara.lopez@northfield-hr.com"/>
    <x v="7"/>
    <x v="4"/>
    <x v="2"/>
    <x v="0"/>
  </r>
  <r>
    <s v="E02094"/>
    <s v="Carlos"/>
    <s v="Thompson"/>
    <x v="2"/>
    <n v="30"/>
    <x v="8"/>
    <x v="4"/>
    <n v="58564.75"/>
    <s v=""/>
    <s v=""/>
    <s v="carlos.thompson@northfield-hr.com"/>
    <x v="12"/>
    <x v="0"/>
    <x v="1"/>
    <x v="2"/>
  </r>
  <r>
    <s v="E02188"/>
    <s v="Yuki"/>
    <s v="Moore"/>
    <x v="2"/>
    <n v="44"/>
    <x v="1"/>
    <x v="4"/>
    <n v="87174"/>
    <d v="2007-10-18T00:00:00"/>
    <n v="18"/>
    <s v="yuki.moore@northfield-hr.com"/>
    <x v="0"/>
    <x v="0"/>
    <x v="4"/>
    <x v="2"/>
  </r>
  <r>
    <s v="E03037"/>
    <s v="Charles"/>
    <s v="Harris"/>
    <x v="2"/>
    <n v="42"/>
    <x v="7"/>
    <x v="4"/>
    <n v="65732"/>
    <d v="2021-07-06T00:00:00"/>
    <n v="5"/>
    <s v="charles.harris@northfield-hr.com"/>
    <x v="11"/>
    <x v="3"/>
    <x v="4"/>
    <x v="2"/>
  </r>
  <r>
    <s v="E03919"/>
    <s v="James"/>
    <s v="Thomas"/>
    <x v="0"/>
    <n v="37"/>
    <x v="9"/>
    <x v="1"/>
    <n v="57039"/>
    <s v=""/>
    <s v=""/>
    <s v="james.thomas@northfield-hr.com"/>
    <x v="8"/>
    <x v="3"/>
    <x v="3"/>
    <x v="2"/>
  </r>
  <r>
    <s v="E01273"/>
    <s v="Sofia"/>
    <s v="Jones"/>
    <x v="1"/>
    <n v="42"/>
    <x v="3"/>
    <x v="4"/>
    <n v="65976"/>
    <d v="2006-03-03T00:00:00"/>
    <n v="20"/>
    <s v="sofia.jones@northfield-hr.com"/>
    <x v="8"/>
    <x v="1"/>
    <x v="4"/>
    <x v="2"/>
  </r>
  <r>
    <s v="E00291"/>
    <s v="Charles"/>
    <s v="Garcia"/>
    <x v="2"/>
    <n v="33"/>
    <x v="1"/>
    <x v="1"/>
    <n v="87815.32"/>
    <d v="2014-12-03T00:00:00"/>
    <n v="11"/>
    <s v="charles.garcia@northfield-hr.com"/>
    <x v="8"/>
    <x v="0"/>
    <x v="6"/>
    <x v="2"/>
  </r>
  <r>
    <s v="E00907"/>
    <s v="Amara"/>
    <s v="Jackson"/>
    <x v="2"/>
    <n v="46"/>
    <x v="5"/>
    <x v="6"/>
    <n v="55997"/>
    <d v="2020-07-22T00:00:00"/>
    <n v="6"/>
    <s v="amara.jackson@northfield-hr.com"/>
    <x v="9"/>
    <x v="3"/>
    <x v="2"/>
    <x v="2"/>
  </r>
  <r>
    <s v="E00253"/>
    <s v="Lucas"/>
    <s v="Anderson"/>
    <x v="1"/>
    <n v="50"/>
    <x v="1"/>
    <x v="0"/>
    <n v="119403"/>
    <d v="2009-05-07T00:00:00"/>
    <n v="17"/>
    <s v="lucas.anderson@northfield-hr.com"/>
    <x v="9"/>
    <x v="0"/>
    <x v="2"/>
    <x v="0"/>
  </r>
  <r>
    <s v="E03246"/>
    <s v="Emma"/>
    <s v="Hernandez"/>
    <x v="0"/>
    <n v="35"/>
    <x v="6"/>
    <x v="0"/>
    <n v="113616"/>
    <d v="2019-06-16T00:00:00"/>
    <n v="7"/>
    <s v="emma.hernandez@northfield-hr.com"/>
    <x v="4"/>
    <x v="0"/>
    <x v="6"/>
    <x v="0"/>
  </r>
  <r>
    <s v="E00351"/>
    <s v="Chidi"/>
    <s v="Walker"/>
    <x v="2"/>
    <n v="48"/>
    <x v="3"/>
    <x v="1"/>
    <n v="56054"/>
    <s v=""/>
    <s v=""/>
    <s v="chidi.walker@northfield-hr.com"/>
    <x v="0"/>
    <x v="3"/>
    <x v="2"/>
    <x v="2"/>
  </r>
  <r>
    <s v="E01188"/>
    <s v="Patricia"/>
    <s v="Scott"/>
    <x v="1"/>
    <n v="52"/>
    <x v="5"/>
    <x v="4"/>
    <n v="57411"/>
    <d v="2011-08-13T00:00:00"/>
    <n v="15"/>
    <s v="patricia.scott@northfield-hr.com"/>
    <x v="10"/>
    <x v="0"/>
    <x v="5"/>
    <x v="2"/>
  </r>
  <r>
    <s v="E01962"/>
    <s v="Hiroshi"/>
    <s v="Anderson"/>
    <x v="2"/>
    <n v="36"/>
    <x v="6"/>
    <x v="6"/>
    <n v="66115"/>
    <d v="2011-01-14T00:00:00"/>
    <n v="15"/>
    <s v="hiroshi.anderson@northfield-hr.com"/>
    <x v="7"/>
    <x v="3"/>
    <x v="3"/>
    <x v="2"/>
  </r>
  <r>
    <s v="E00423"/>
    <s v="Diego"/>
    <s v="Jackson"/>
    <x v="0"/>
    <n v="63"/>
    <x v="0"/>
    <x v="5"/>
    <n v="99305"/>
    <d v="2005-08-08T00:00:00"/>
    <n v="21"/>
    <s v="diego.jackson@northfield-hr.com"/>
    <x v="10"/>
    <x v="3"/>
    <x v="7"/>
    <x v="2"/>
  </r>
  <r>
    <s v="E00091"/>
    <s v="Carlos"/>
    <s v="Jones"/>
    <x v="0"/>
    <n v="29"/>
    <x v="6"/>
    <x v="3"/>
    <n v="93717"/>
    <d v="2019-11-07T00:00:00"/>
    <n v="6"/>
    <s v="carlos.jones@northfield-hr.com"/>
    <x v="13"/>
    <x v="4"/>
    <x v="1"/>
    <x v="2"/>
  </r>
  <r>
    <s v="E03730"/>
    <s v="Fatima"/>
    <s v="Gonzalez"/>
    <x v="0"/>
    <n v="31"/>
    <x v="0"/>
    <x v="1"/>
    <n v="83848"/>
    <d v="2018-12-10T00:00:00"/>
    <n v="7"/>
    <s v="fatima.gonzalez@northfield-hr.com"/>
    <x v="1"/>
    <x v="1"/>
    <x v="6"/>
    <x v="2"/>
  </r>
  <r>
    <s v="E02237"/>
    <s v="Thomas"/>
    <s v="Miller"/>
    <x v="1"/>
    <n v="43"/>
    <x v="0"/>
    <x v="1"/>
    <n v="97337"/>
    <d v="2017-06-13T00:00:00"/>
    <n v="9"/>
    <s v="thomas.miller@northfield-hr.com"/>
    <x v="3"/>
    <x v="3"/>
    <x v="4"/>
    <x v="2"/>
  </r>
  <r>
    <s v="E00671"/>
    <s v="Thomas"/>
    <s v="Thomas"/>
    <x v="2"/>
    <n v="57"/>
    <x v="3"/>
    <x v="6"/>
    <n v="52668"/>
    <d v="2007-01-02T00:00:00"/>
    <n v="19"/>
    <s v="thomas.thomas@northfield-hr.com"/>
    <x v="12"/>
    <x v="3"/>
    <x v="0"/>
    <x v="2"/>
  </r>
  <r>
    <s v="E03041"/>
    <s v="Emma"/>
    <s v="Wright"/>
    <x v="0"/>
    <n v="41"/>
    <x v="2"/>
    <x v="6"/>
    <n v="43157"/>
    <d v="2019-10-24T00:00:00"/>
    <n v="6"/>
    <s v="emma.wright@northfield-hr.com"/>
    <x v="8"/>
    <x v="3"/>
    <x v="4"/>
    <x v="1"/>
  </r>
  <r>
    <s v="E00027"/>
    <s v="Amara"/>
    <s v="Scott"/>
    <x v="1"/>
    <n v="44"/>
    <x v="5"/>
    <x v="1"/>
    <n v="52778"/>
    <d v="2018-03-14T00:00:00"/>
    <n v="8"/>
    <s v="amara.scott@northfield-hr.com"/>
    <x v="3"/>
    <x v="4"/>
    <x v="4"/>
    <x v="2"/>
  </r>
  <r>
    <s v="E00430"/>
    <s v="Karen"/>
    <s v="Garcia"/>
    <x v="0"/>
    <n v="44"/>
    <x v="1"/>
    <x v="1"/>
    <n v="81723"/>
    <d v="2009-07-23T00:00:00"/>
    <n v="17"/>
    <s v="karen.garcia@northfield-hr.com"/>
    <x v="9"/>
    <x v="0"/>
    <x v="4"/>
    <x v="2"/>
  </r>
  <r>
    <s v="E00684"/>
    <s v="Richard"/>
    <s v="Martinez"/>
    <x v="0"/>
    <n v="46"/>
    <x v="4"/>
    <x v="0"/>
    <n v="77829.62"/>
    <d v="2008-10-05T00:00:00"/>
    <n v="18"/>
    <s v="richard.martinez@northfield-hr.com"/>
    <x v="6"/>
    <x v="3"/>
    <x v="2"/>
    <x v="2"/>
  </r>
  <r>
    <s v="E04464"/>
    <s v="Hiroshi"/>
    <s v="Brown"/>
    <x v="2"/>
    <n v="34"/>
    <x v="1"/>
    <x v="6"/>
    <n v="67784"/>
    <d v="2016-04-15T00:00:00"/>
    <n v="10"/>
    <s v="hiroshi.brown@northfield-hr.com"/>
    <x v="10"/>
    <x v="0"/>
    <x v="6"/>
    <x v="2"/>
  </r>
  <r>
    <s v="E03946"/>
    <s v="Ava"/>
    <s v="Perez"/>
    <x v="0"/>
    <n v="48"/>
    <x v="4"/>
    <x v="5"/>
    <n v="60800"/>
    <d v="2015-01-20T00:00:00"/>
    <n v="11"/>
    <s v="ava.perez@northfield-hr.com"/>
    <x v="11"/>
    <x v="3"/>
    <x v="2"/>
    <x v="2"/>
  </r>
  <r>
    <s v="E03524"/>
    <s v="Mateo"/>
    <s v="Sanchez"/>
    <x v="0"/>
    <n v="37"/>
    <x v="0"/>
    <x v="1"/>
    <n v="88286"/>
    <d v="2016-07-15T00:00:00"/>
    <n v="10"/>
    <s v="mateo.sanchez@northfield-hr.com"/>
    <x v="9"/>
    <x v="1"/>
    <x v="3"/>
    <x v="2"/>
  </r>
  <r>
    <s v="E01542"/>
    <s v="Chidi"/>
    <s v="Miller"/>
    <x v="1"/>
    <n v="37"/>
    <x v="7"/>
    <x v="2"/>
    <n v="124878.42"/>
    <d v="2015-05-05T00:00:00"/>
    <n v="11"/>
    <s v="chidi.miller@northfield-hr.com"/>
    <x v="0"/>
    <x v="3"/>
    <x v="3"/>
    <x v="0"/>
  </r>
  <r>
    <s v="E02032"/>
    <s v="Charles"/>
    <s v="Martin"/>
    <x v="1"/>
    <n v="41"/>
    <x v="9"/>
    <x v="6"/>
    <n v="62827.05"/>
    <d v="2022-12-30T00:00:00"/>
    <n v="3"/>
    <s v="charles.martin@northfield-hr.com"/>
    <x v="11"/>
    <x v="0"/>
    <x v="4"/>
    <x v="2"/>
  </r>
  <r>
    <s v="E02233"/>
    <s v="Emma"/>
    <s v="Perez"/>
    <x v="0"/>
    <n v="31"/>
    <x v="2"/>
    <x v="4"/>
    <n v="38907"/>
    <d v="2021-04-30T00:00:00"/>
    <n v="5"/>
    <s v="emma.perez@northfield-hr.com"/>
    <x v="13"/>
    <x v="3"/>
    <x v="6"/>
    <x v="1"/>
  </r>
  <r>
    <s v="E04121"/>
    <s v="Jennifer"/>
    <s v="Lee"/>
    <x v="0"/>
    <n v="37"/>
    <x v="8"/>
    <x v="0"/>
    <n v="76684"/>
    <d v="2015-08-31T00:00:00"/>
    <n v="11"/>
    <s v="jennifer.lee@northfield-hr.com"/>
    <x v="8"/>
    <x v="3"/>
    <x v="3"/>
    <x v="2"/>
  </r>
  <r>
    <s v="E03236"/>
    <s v="John"/>
    <s v="Lewis"/>
    <x v="2"/>
    <n v="34"/>
    <x v="10"/>
    <x v="4"/>
    <n v="89518.28"/>
    <d v="2024-10-25T00:00:00"/>
    <n v="1"/>
    <s v="john.lewis@northfield-hr.com"/>
    <x v="9"/>
    <x v="4"/>
    <x v="6"/>
    <x v="2"/>
  </r>
  <r>
    <s v="E00255"/>
    <s v="Jennifer"/>
    <s v="Jones"/>
    <x v="2"/>
    <n v="41"/>
    <x v="1"/>
    <x v="5"/>
    <n v="95369"/>
    <d v="2013-12-06T00:00:00"/>
    <n v="12"/>
    <s v="jennifer.jones@northfield-hr.com"/>
    <x v="1"/>
    <x v="3"/>
    <x v="4"/>
    <x v="2"/>
  </r>
  <r>
    <s v="E01030"/>
    <s v="Karen"/>
    <s v="Jones"/>
    <x v="2"/>
    <n v="39"/>
    <x v="5"/>
    <x v="1"/>
    <n v="56972"/>
    <d v="2013-02-25T00:00:00"/>
    <n v="13"/>
    <s v="karen.jones@northfield-hr.com"/>
    <x v="8"/>
    <x v="3"/>
    <x v="3"/>
    <x v="2"/>
  </r>
  <r>
    <s v="E04393"/>
    <s v="Amara"/>
    <s v="Nguyen"/>
    <x v="1"/>
    <n v="40"/>
    <x v="0"/>
    <x v="6"/>
    <n v="70849.05"/>
    <d v="2013-08-18T00:00:00"/>
    <n v="13"/>
    <s v="amara.nguyen@northfield-hr.com"/>
    <x v="8"/>
    <x v="0"/>
    <x v="3"/>
    <x v="2"/>
  </r>
  <r>
    <s v="E03801"/>
    <s v="Mohammed"/>
    <s v="Sanchez"/>
    <x v="2"/>
    <n v="44"/>
    <x v="0"/>
    <x v="3"/>
    <n v="101839"/>
    <d v="2014-02-14T00:00:00"/>
    <n v="12"/>
    <s v="mohammed.sanchez@northfield-hr.com"/>
    <x v="4"/>
    <x v="2"/>
    <x v="4"/>
    <x v="0"/>
  </r>
  <r>
    <s v="E04311"/>
    <s v="John"/>
    <s v="Adams"/>
    <x v="0"/>
    <n v="44"/>
    <x v="7"/>
    <x v="7"/>
    <n v="109605"/>
    <d v="2024-12-08T00:00:00"/>
    <n v="1"/>
    <s v="john.adams@northfield-hr.com"/>
    <x v="6"/>
    <x v="2"/>
    <x v="4"/>
    <x v="0"/>
  </r>
  <r>
    <s v="E02510"/>
    <s v="Noah"/>
    <s v="Jackson"/>
    <x v="0"/>
    <n v="41"/>
    <x v="8"/>
    <x v="3"/>
    <n v="61657"/>
    <d v="2014-04-09T00:00:00"/>
    <n v="12"/>
    <s v="noah.jackson@northfield-hr.com"/>
    <x v="2"/>
    <x v="3"/>
    <x v="4"/>
    <x v="2"/>
  </r>
  <r>
    <s v="E02293"/>
    <s v="Charles"/>
    <s v="Lee"/>
    <x v="1"/>
    <n v="49"/>
    <x v="4"/>
    <x v="4"/>
    <n v="51595"/>
    <s v=""/>
    <s v=""/>
    <s v="charles.lee@northfield-hr.com"/>
    <x v="0"/>
    <x v="3"/>
    <x v="2"/>
    <x v="2"/>
  </r>
  <r>
    <s v="E01324"/>
    <s v="Hiroshi"/>
    <s v="Sanchez"/>
    <x v="2"/>
    <n v="35"/>
    <x v="1"/>
    <x v="8"/>
    <n v="221241.93"/>
    <d v="2014-06-23T00:00:00"/>
    <n v="12"/>
    <s v="hiroshi.sanchez@northfield-hr.com"/>
    <x v="8"/>
    <x v="0"/>
    <x v="6"/>
    <x v="4"/>
  </r>
  <r>
    <s v="E01551"/>
    <s v="Charles"/>
    <s v="Smith"/>
    <x v="1"/>
    <n v="46"/>
    <x v="7"/>
    <x v="6"/>
    <n v="143601"/>
    <d v="2009-02-25T00:00:00"/>
    <n v="17"/>
    <s v="charles.smith@northfield-hr.com"/>
    <x v="11"/>
    <x v="1"/>
    <x v="2"/>
    <x v="0"/>
  </r>
  <r>
    <s v="E04648"/>
    <s v="Priya"/>
    <s v="Martin"/>
    <x v="2"/>
    <n v="49"/>
    <x v="8"/>
    <x v="7"/>
    <n v="100593"/>
    <d v="2005-03-08T00:00:00"/>
    <n v="21"/>
    <s v="priya.martin@northfield-hr.com"/>
    <x v="0"/>
    <x v="3"/>
    <x v="2"/>
    <x v="0"/>
  </r>
  <r>
    <s v="E00316"/>
    <s v="David"/>
    <s v="Clark"/>
    <x v="2"/>
    <n v="53"/>
    <x v="4"/>
    <x v="4"/>
    <n v="44095"/>
    <d v="2024-12-28T00:00:00"/>
    <n v="1"/>
    <s v="david.clark@northfield-hr.com"/>
    <x v="12"/>
    <x v="0"/>
    <x v="5"/>
    <x v="1"/>
  </r>
  <r>
    <s v="E01243"/>
    <s v="Barbara"/>
    <s v="Clark"/>
    <x v="1"/>
    <n v="46"/>
    <x v="7"/>
    <x v="1"/>
    <n v="67113.69"/>
    <d v="2009-01-11T00:00:00"/>
    <n v="17"/>
    <s v="barbara.clark@northfield-hr.com"/>
    <x v="7"/>
    <x v="3"/>
    <x v="2"/>
    <x v="2"/>
  </r>
  <r>
    <s v="E02451"/>
    <s v="Thomas"/>
    <s v="Miller"/>
    <x v="2"/>
    <n v="38"/>
    <x v="9"/>
    <x v="3"/>
    <n v="58991"/>
    <d v="2015-07-21T00:00:00"/>
    <n v="11"/>
    <s v="thomas.miller@northfield-hr.com"/>
    <x v="11"/>
    <x v="2"/>
    <x v="3"/>
    <x v="2"/>
  </r>
  <r>
    <s v="E01579"/>
    <s v="David"/>
    <s v="Adams"/>
    <x v="0"/>
    <n v="39"/>
    <x v="0"/>
    <x v="3"/>
    <n v="92714"/>
    <d v="2017-08-09T00:00:00"/>
    <n v="9"/>
    <s v="david.adams@northfield-hr.com"/>
    <x v="4"/>
    <x v="2"/>
    <x v="3"/>
    <x v="2"/>
  </r>
  <r>
    <s v="E04626"/>
    <s v="Susan"/>
    <s v="Brown"/>
    <x v="1"/>
    <n v="54"/>
    <x v="10"/>
    <x v="5"/>
    <n v="98225.23"/>
    <d v="2007-11-21T00:00:00"/>
    <n v="18"/>
    <s v="susan.brown@northfield-hr.com"/>
    <x v="1"/>
    <x v="2"/>
    <x v="5"/>
    <x v="2"/>
  </r>
  <r>
    <s v="E03117"/>
    <s v="Chidi"/>
    <s v="Rodriguez"/>
    <x v="1"/>
    <n v="32"/>
    <x v="2"/>
    <x v="1"/>
    <n v="42564"/>
    <d v="2014-10-22T00:00:00"/>
    <n v="11"/>
    <s v="chidi.rodriguez@northfield-hr.com"/>
    <x v="4"/>
    <x v="2"/>
    <x v="6"/>
    <x v="1"/>
  </r>
  <r>
    <s v="E00070"/>
    <s v="Michael"/>
    <s v="Ramirez"/>
    <x v="1"/>
    <n v="42"/>
    <x v="9"/>
    <x v="7"/>
    <n v="103845"/>
    <d v="2008-12-11T00:00:00"/>
    <n v="17"/>
    <s v="michael.ramirez@northfield-hr.com"/>
    <x v="9"/>
    <x v="1"/>
    <x v="4"/>
    <x v="0"/>
  </r>
  <r>
    <s v="E00860"/>
    <s v="Ava"/>
    <s v="Jones"/>
    <x v="0"/>
    <n v="33"/>
    <x v="9"/>
    <x v="4"/>
    <n v="88028"/>
    <d v="2019-03-20T00:00:00"/>
    <n v="7"/>
    <s v="ava.jones@northfield-hr.com"/>
    <x v="11"/>
    <x v="3"/>
    <x v="6"/>
    <x v="2"/>
  </r>
  <r>
    <s v="E02754"/>
    <s v="James"/>
    <s v="Wilson"/>
    <x v="1"/>
    <n v="28"/>
    <x v="1"/>
    <x v="1"/>
    <n v="78310"/>
    <d v="2019-03-13T00:00:00"/>
    <n v="7"/>
    <s v="james.wilson@northfield-hr.com"/>
    <x v="13"/>
    <x v="3"/>
    <x v="1"/>
    <x v="2"/>
  </r>
  <r>
    <s v="E01633"/>
    <s v="Mary"/>
    <s v="Young"/>
    <x v="1"/>
    <n v="57"/>
    <x v="2"/>
    <x v="2"/>
    <n v="96055"/>
    <d v="2011-01-24T00:00:00"/>
    <n v="15"/>
    <s v="mary.young@northfield-hr.com"/>
    <x v="4"/>
    <x v="3"/>
    <x v="0"/>
    <x v="2"/>
  </r>
  <r>
    <s v="E01651"/>
    <s v="Lucas"/>
    <s v="Lewis"/>
    <x v="1"/>
    <n v="38"/>
    <x v="6"/>
    <x v="4"/>
    <n v="70472.5"/>
    <d v="2016-06-18T00:00:00"/>
    <n v="10"/>
    <s v="lucas.lewis@northfield-hr.com"/>
    <x v="0"/>
    <x v="0"/>
    <x v="3"/>
    <x v="2"/>
  </r>
  <r>
    <s v="E03861"/>
    <s v="Liam"/>
    <s v="Scott"/>
    <x v="0"/>
    <n v="52"/>
    <x v="5"/>
    <x v="1"/>
    <n v="55032.01"/>
    <d v="2019-12-11T00:00:00"/>
    <n v="6"/>
    <s v="liam.scott@northfield-hr.com"/>
    <x v="10"/>
    <x v="0"/>
    <x v="5"/>
    <x v="2"/>
  </r>
  <r>
    <s v="E03107"/>
    <s v="Karen"/>
    <s v="Lewis"/>
    <x v="2"/>
    <n v="24"/>
    <x v="3"/>
    <x v="5"/>
    <n v="62522"/>
    <d v="2024-10-24T00:00:00"/>
    <n v="1"/>
    <s v="karen.lewis@northfield-hr.com"/>
    <x v="2"/>
    <x v="0"/>
    <x v="1"/>
    <x v="2"/>
  </r>
  <r>
    <s v="E01075"/>
    <s v="Patricia"/>
    <s v="Jackson"/>
    <x v="2"/>
    <n v="24"/>
    <x v="0"/>
    <x v="4"/>
    <n v="82760"/>
    <d v="2022-11-26T00:00:00"/>
    <n v="3"/>
    <s v="patricia.jackson@northfield-hr.com"/>
    <x v="5"/>
    <x v="3"/>
    <x v="1"/>
    <x v="2"/>
  </r>
  <r>
    <s v="E04002"/>
    <s v="Amara"/>
    <s v="Nguyen"/>
    <x v="2"/>
    <n v="45"/>
    <x v="8"/>
    <x v="4"/>
    <n v="47614.05"/>
    <d v="2011-02-23T00:00:00"/>
    <n v="15"/>
    <s v="amara.nguyen@northfield-hr.com"/>
    <x v="2"/>
    <x v="3"/>
    <x v="4"/>
    <x v="1"/>
  </r>
  <r>
    <s v="E00788"/>
    <s v="Noah"/>
    <s v="Sanchez"/>
    <x v="2"/>
    <n v="37"/>
    <x v="3"/>
    <x v="4"/>
    <n v="57312"/>
    <d v="2022-09-05T00:00:00"/>
    <n v="4"/>
    <s v="noah.sanchez@northfield-hr.com"/>
    <x v="10"/>
    <x v="0"/>
    <x v="3"/>
    <x v="2"/>
  </r>
  <r>
    <s v="E02606"/>
    <s v="Mohammed"/>
    <s v="Lopez"/>
    <x v="2"/>
    <n v="34"/>
    <x v="0"/>
    <x v="0"/>
    <n v="124001"/>
    <d v="2019-05-10T00:00:00"/>
    <n v="7"/>
    <s v="mohammed.lopez@northfield-hr.com"/>
    <x v="5"/>
    <x v="1"/>
    <x v="6"/>
    <x v="0"/>
  </r>
  <r>
    <s v="E03631"/>
    <s v="Mary"/>
    <s v="Clark"/>
    <x v="1"/>
    <n v="38"/>
    <x v="8"/>
    <x v="6"/>
    <n v="50394.165000000001"/>
    <d v="2013-10-27T00:00:00"/>
    <n v="12"/>
    <s v="mary.clark@northfield-hr.com"/>
    <x v="1"/>
    <x v="0"/>
    <x v="3"/>
    <x v="2"/>
  </r>
  <r>
    <s v="E02122"/>
    <s v="Jennifer"/>
    <s v="Hill"/>
    <x v="2"/>
    <n v="44"/>
    <x v="3"/>
    <x v="1"/>
    <n v="55739"/>
    <d v="2015-03-27T00:00:00"/>
    <n v="11"/>
    <s v="jennifer.hill@northfield-hr.com"/>
    <x v="10"/>
    <x v="0"/>
    <x v="4"/>
    <x v="2"/>
  </r>
  <r>
    <s v="E01875"/>
    <s v="Mary"/>
    <s v="Rodriguez"/>
    <x v="1"/>
    <n v="30"/>
    <x v="0"/>
    <x v="6"/>
    <n v="87361.8"/>
    <d v="2019-05-29T00:00:00"/>
    <n v="7"/>
    <s v="mary.rodriguez@northfield-hr.com"/>
    <x v="12"/>
    <x v="0"/>
    <x v="1"/>
    <x v="2"/>
  </r>
  <r>
    <s v="E00812"/>
    <s v="Wei"/>
    <s v="Thompson"/>
    <x v="0"/>
    <n v="31"/>
    <x v="4"/>
    <x v="1"/>
    <n v="57971"/>
    <d v="2023-01-30T00:00:00"/>
    <n v="3"/>
    <s v="wei.thompson@northfield-hr.com"/>
    <x v="8"/>
    <x v="0"/>
    <x v="6"/>
    <x v="2"/>
  </r>
  <r>
    <s v="E00388"/>
    <s v="Emma"/>
    <s v="Davis"/>
    <x v="2"/>
    <n v="28"/>
    <x v="6"/>
    <x v="1"/>
    <n v="80305"/>
    <d v="2020-01-17T00:00:00"/>
    <n v="6"/>
    <s v="emma.davis@northfield-hr.com"/>
    <x v="10"/>
    <x v="0"/>
    <x v="1"/>
    <x v="2"/>
  </r>
  <r>
    <s v="E02883"/>
    <s v="Joseph"/>
    <s v="Brown"/>
    <x v="0"/>
    <n v="47"/>
    <x v="10"/>
    <x v="4"/>
    <n v="90015"/>
    <d v="2012-12-05T00:00:00"/>
    <n v="13"/>
    <s v="joseph.brown@northfield-hr.com"/>
    <x v="11"/>
    <x v="0"/>
    <x v="2"/>
    <x v="2"/>
  </r>
  <r>
    <s v="E01176"/>
    <s v="John"/>
    <s v="Rodriguez"/>
    <x v="2"/>
    <n v="44"/>
    <x v="9"/>
    <x v="5"/>
    <n v="67257"/>
    <d v="2017-10-13T00:00:00"/>
    <n v="8"/>
    <s v="john.rodriguez@northfield-hr.com"/>
    <x v="10"/>
    <x v="0"/>
    <x v="4"/>
    <x v="2"/>
  </r>
  <r>
    <s v="E03198"/>
    <s v="Charles"/>
    <s v="Allen"/>
    <x v="1"/>
    <n v="46"/>
    <x v="7"/>
    <x v="5"/>
    <n v="72366"/>
    <d v="2009-11-12T00:00:00"/>
    <n v="16"/>
    <s v="charles.allen@northfield-hr.com"/>
    <x v="5"/>
    <x v="4"/>
    <x v="2"/>
    <x v="2"/>
  </r>
  <r>
    <s v="E02624"/>
    <s v="Mohammed"/>
    <s v="Harris"/>
    <x v="2"/>
    <n v="31"/>
    <x v="6"/>
    <x v="5"/>
    <n v="80921"/>
    <d v="2017-03-31T00:00:00"/>
    <n v="9"/>
    <s v="mohammed.harris@northfield-hr.com"/>
    <x v="12"/>
    <x v="3"/>
    <x v="6"/>
    <x v="2"/>
  </r>
  <r>
    <s v="E01352"/>
    <s v="Wei"/>
    <s v="Garcia"/>
    <x v="2"/>
    <n v="48"/>
    <x v="10"/>
    <x v="1"/>
    <n v="109713"/>
    <d v="2012-06-25T00:00:00"/>
    <n v="14"/>
    <s v="wei.garcia@northfield-hr.com"/>
    <x v="9"/>
    <x v="0"/>
    <x v="2"/>
    <x v="0"/>
  </r>
  <r>
    <s v="E00411"/>
    <s v="Sofia"/>
    <s v="Perez"/>
    <x v="0"/>
    <n v="52"/>
    <x v="0"/>
    <x v="4"/>
    <n v="79853"/>
    <d v="2022-05-02T00:00:00"/>
    <n v="4"/>
    <s v="sofia.perez@northfield-hr.com"/>
    <x v="5"/>
    <x v="2"/>
    <x v="5"/>
    <x v="2"/>
  </r>
  <r>
    <s v="E04213"/>
    <s v="Hiroshi"/>
    <s v="Nguyen"/>
    <x v="2"/>
    <n v="54"/>
    <x v="8"/>
    <x v="0"/>
    <n v="79100"/>
    <d v="2009-09-07T00:00:00"/>
    <n v="17"/>
    <s v="hiroshi.nguyen@northfield-hr.com"/>
    <x v="3"/>
    <x v="0"/>
    <x v="5"/>
    <x v="2"/>
  </r>
  <r>
    <s v="E00110"/>
    <s v="Karen"/>
    <s v="Torres"/>
    <x v="0"/>
    <n v="58"/>
    <x v="0"/>
    <x v="8"/>
    <n v="226067.4"/>
    <d v="2006-09-05T00:00:00"/>
    <n v="20"/>
    <s v="karen.torres@northfield-hr.com"/>
    <x v="7"/>
    <x v="1"/>
    <x v="0"/>
    <x v="4"/>
  </r>
  <r>
    <s v="E02083"/>
    <s v="Priya"/>
    <s v="Hill"/>
    <x v="0"/>
    <n v="45"/>
    <x v="6"/>
    <x v="3"/>
    <n v="86160"/>
    <d v="2009-06-27T00:00:00"/>
    <n v="17"/>
    <s v="priya.hill@northfield-hr.com"/>
    <x v="10"/>
    <x v="3"/>
    <x v="4"/>
    <x v="2"/>
  </r>
  <r>
    <s v="E03430"/>
    <s v="Robert"/>
    <s v="Sanchez"/>
    <x v="2"/>
    <n v="46"/>
    <x v="3"/>
    <x v="1"/>
    <n v="55607.01"/>
    <d v="2010-10-05T00:00:00"/>
    <n v="16"/>
    <s v="robert.sanchez@northfield-hr.com"/>
    <x v="12"/>
    <x v="3"/>
    <x v="2"/>
    <x v="2"/>
  </r>
  <r>
    <s v="E02810"/>
    <s v="Yuki"/>
    <s v="Martin"/>
    <x v="0"/>
    <n v="55"/>
    <x v="3"/>
    <x v="5"/>
    <n v="62522"/>
    <d v="2006-12-19T00:00:00"/>
    <n v="19"/>
    <s v="yuki.martin@northfield-hr.com"/>
    <x v="10"/>
    <x v="0"/>
    <x v="5"/>
    <x v="2"/>
  </r>
  <r>
    <s v="E02595"/>
    <s v="John"/>
    <s v="Wright"/>
    <x v="2"/>
    <n v="55"/>
    <x v="10"/>
    <x v="4"/>
    <n v="82696"/>
    <d v="2010-11-01T00:00:00"/>
    <n v="15"/>
    <s v="john.wright@northfield-hr.com"/>
    <x v="4"/>
    <x v="0"/>
    <x v="5"/>
    <x v="2"/>
  </r>
  <r>
    <s v="E02837"/>
    <s v="Robert"/>
    <s v="Allen"/>
    <x v="1"/>
    <n v="66"/>
    <x v="10"/>
    <x v="2"/>
    <n v="186728.37"/>
    <d v="2013-09-23T00:00:00"/>
    <n v="13"/>
    <s v="robert.allen@northfield-hr.com"/>
    <x v="7"/>
    <x v="0"/>
    <x v="7"/>
    <x v="3"/>
  </r>
  <r>
    <s v="E02373"/>
    <s v="John"/>
    <s v="Sanchez"/>
    <x v="2"/>
    <n v="51"/>
    <x v="8"/>
    <x v="3"/>
    <n v="57771"/>
    <d v="2010-06-08T00:00:00"/>
    <n v="16"/>
    <s v="john.sanchez@northfield-hr.com"/>
    <x v="2"/>
    <x v="3"/>
    <x v="5"/>
    <x v="2"/>
  </r>
  <r>
    <s v="E01236"/>
    <s v="Joseph"/>
    <s v="Jackson"/>
    <x v="0"/>
    <n v="61"/>
    <x v="4"/>
    <x v="1"/>
    <n v="58635"/>
    <d v="2016-05-10T00:00:00"/>
    <n v="10"/>
    <s v="joseph.jackson@northfield-hr.com"/>
    <x v="0"/>
    <x v="0"/>
    <x v="7"/>
    <x v="2"/>
  </r>
  <r>
    <s v="E02147"/>
    <s v="Liam"/>
    <s v="Davis"/>
    <x v="0"/>
    <n v="53"/>
    <x v="7"/>
    <x v="5"/>
    <n v="68739"/>
    <d v="2008-06-22T00:00:00"/>
    <n v="18"/>
    <s v="liam.davis@northfield-hr.com"/>
    <x v="10"/>
    <x v="2"/>
    <x v="5"/>
    <x v="2"/>
  </r>
  <r>
    <s v="E02254"/>
    <s v="Elizabeth"/>
    <s v="Miller"/>
    <x v="2"/>
    <n v="40"/>
    <x v="0"/>
    <x v="0"/>
    <n v="134437"/>
    <d v="2007-10-31T00:00:00"/>
    <n v="18"/>
    <s v="elizabeth.miller@northfield-hr.com"/>
    <x v="2"/>
    <x v="3"/>
    <x v="3"/>
    <x v="0"/>
  </r>
  <r>
    <s v="E00600"/>
    <s v="Priya"/>
    <s v="Harris"/>
    <x v="1"/>
    <n v="51"/>
    <x v="8"/>
    <x v="2"/>
    <n v="112174"/>
    <d v="2013-08-28T00:00:00"/>
    <n v="13"/>
    <s v="priya.harris@northfield-hr.com"/>
    <x v="4"/>
    <x v="0"/>
    <x v="5"/>
    <x v="0"/>
  </r>
  <r>
    <s v="E01435"/>
    <s v="Patricia"/>
    <s v="Thompson"/>
    <x v="2"/>
    <n v="50"/>
    <x v="1"/>
    <x v="7"/>
    <n v="148596.92000000001"/>
    <d v="2024-01-14T00:00:00"/>
    <n v="2"/>
    <s v="patricia.thompson@northfield-hr.com"/>
    <x v="10"/>
    <x v="3"/>
    <x v="2"/>
    <x v="0"/>
  </r>
  <r>
    <s v="E04192"/>
    <s v="Mohammed"/>
    <s v="Scott"/>
    <x v="1"/>
    <n v="50"/>
    <x v="10"/>
    <x v="0"/>
    <n v="137511"/>
    <d v="2019-09-25T00:00:00"/>
    <n v="7"/>
    <s v="mohammed.scott@northfield-hr.com"/>
    <x v="4"/>
    <x v="2"/>
    <x v="2"/>
    <x v="0"/>
  </r>
  <r>
    <s v="E00539"/>
    <s v="Priya"/>
    <s v="King"/>
    <x v="1"/>
    <n v="54"/>
    <x v="6"/>
    <x v="2"/>
    <n v="161135"/>
    <d v="2005-05-27T00:00:00"/>
    <n v="21"/>
    <s v="priya.king@northfield-hr.com"/>
    <x v="8"/>
    <x v="4"/>
    <x v="5"/>
    <x v="3"/>
  </r>
  <r>
    <s v="E00722"/>
    <s v="Michael"/>
    <s v="Rodriguez"/>
    <x v="2"/>
    <n v="41"/>
    <x v="1"/>
    <x v="6"/>
    <n v="77101"/>
    <d v="2010-03-22T00:00:00"/>
    <n v="16"/>
    <s v="michael.rodriguez@northfield-hr.com"/>
    <x v="13"/>
    <x v="1"/>
    <x v="4"/>
    <x v="2"/>
  </r>
  <r>
    <s v="E04411"/>
    <s v="Jennifer"/>
    <s v="Anderson"/>
    <x v="1"/>
    <n v="51"/>
    <x v="10"/>
    <x v="4"/>
    <n v="91969"/>
    <d v="2006-01-20T00:00:00"/>
    <n v="20"/>
    <s v="jennifer.anderson@northfield-hr.com"/>
    <x v="8"/>
    <x v="3"/>
    <x v="5"/>
    <x v="2"/>
  </r>
  <r>
    <s v="E01873"/>
    <s v="Carlos"/>
    <s v="Lewis"/>
    <x v="0"/>
    <n v="36"/>
    <x v="6"/>
    <x v="2"/>
    <n v="161135"/>
    <s v=""/>
    <s v=""/>
    <s v="carlos.lewis@northfield-hr.com"/>
    <x v="3"/>
    <x v="0"/>
    <x v="3"/>
    <x v="3"/>
  </r>
  <r>
    <s v="E02846"/>
    <s v="Yuki"/>
    <s v="Perez"/>
    <x v="1"/>
    <n v="34"/>
    <x v="1"/>
    <x v="0"/>
    <n v="119403"/>
    <d v="2013-05-03T00:00:00"/>
    <n v="13"/>
    <s v="yuki.perez@northfield-hr.com"/>
    <x v="8"/>
    <x v="2"/>
    <x v="6"/>
    <x v="0"/>
  </r>
  <r>
    <s v="E02054"/>
    <s v="Sofia"/>
    <s v="Hill"/>
    <x v="0"/>
    <n v="51"/>
    <x v="8"/>
    <x v="6"/>
    <n v="45308"/>
    <d v="2009-05-03T00:00:00"/>
    <n v="17"/>
    <s v="sofia.hill@northfield-hr.com"/>
    <x v="6"/>
    <x v="0"/>
    <x v="5"/>
    <x v="1"/>
  </r>
  <r>
    <s v="E02908"/>
    <s v="Liam"/>
    <s v="Robinson"/>
    <x v="2"/>
    <n v="44"/>
    <x v="5"/>
    <x v="6"/>
    <n v="50576.5"/>
    <d v="2023-04-19T00:00:00"/>
    <n v="3"/>
    <s v="liam.robinson@northfield-hr.com"/>
    <x v="5"/>
    <x v="0"/>
    <x v="4"/>
    <x v="2"/>
  </r>
  <r>
    <s v="E02255"/>
    <s v="Priya"/>
    <s v="Nguyen"/>
    <x v="1"/>
    <n v="37"/>
    <x v="7"/>
    <x v="0"/>
    <n v="110331"/>
    <d v="2021-02-13T00:00:00"/>
    <n v="5"/>
    <s v="priya.nguyen@northfield-hr.com"/>
    <x v="6"/>
    <x v="0"/>
    <x v="3"/>
    <x v="0"/>
  </r>
  <r>
    <s v="E03913"/>
    <s v="John"/>
    <s v="Wright"/>
    <x v="0"/>
    <n v="49"/>
    <x v="6"/>
    <x v="1"/>
    <n v="82390.52"/>
    <d v="2021-03-25T00:00:00"/>
    <n v="5"/>
    <s v="john.wright@northfield-hr.com"/>
    <x v="2"/>
    <x v="0"/>
    <x v="2"/>
    <x v="2"/>
  </r>
  <r>
    <s v="E00178"/>
    <s v="Carlos"/>
    <s v="Rodriguez"/>
    <x v="0"/>
    <n v="47"/>
    <x v="5"/>
    <x v="6"/>
    <n v="49525"/>
    <d v="2006-05-07T00:00:00"/>
    <n v="20"/>
    <s v="carlos.rodriguez@northfield-hr.com"/>
    <x v="7"/>
    <x v="1"/>
    <x v="2"/>
    <x v="1"/>
  </r>
  <r>
    <s v="E02891"/>
    <s v="Linda"/>
    <s v="Wilson"/>
    <x v="0"/>
    <n v="31"/>
    <x v="6"/>
    <x v="4"/>
    <n v="65126"/>
    <d v="2024-05-17T00:00:00"/>
    <n v="2"/>
    <s v="linda.wilson@northfield-hr.com"/>
    <x v="6"/>
    <x v="0"/>
    <x v="6"/>
    <x v="2"/>
  </r>
  <r>
    <s v="E03674"/>
    <s v="Mohammed"/>
    <s v="Wilson"/>
    <x v="2"/>
    <n v="38"/>
    <x v="2"/>
    <x v="1"/>
    <n v="40359"/>
    <d v="2013-02-03T00:00:00"/>
    <n v="13"/>
    <s v="mohammed.wilson@northfield-hr.com"/>
    <x v="9"/>
    <x v="0"/>
    <x v="3"/>
    <x v="1"/>
  </r>
  <r>
    <s v="E00081"/>
    <s v="Emma"/>
    <s v="Rodriguez"/>
    <x v="0"/>
    <n v="45"/>
    <x v="4"/>
    <x v="6"/>
    <n v="44257"/>
    <d v="2016-12-24T00:00:00"/>
    <n v="9"/>
    <s v="emma.rodriguez@northfield-hr.com"/>
    <x v="5"/>
    <x v="1"/>
    <x v="4"/>
    <x v="1"/>
  </r>
  <r>
    <s v="E02562"/>
    <s v="Karen"/>
    <s v="Adams"/>
    <x v="1"/>
    <n v="37"/>
    <x v="2"/>
    <x v="1"/>
    <n v="42310"/>
    <d v="2013-04-27T00:00:00"/>
    <n v="13"/>
    <s v="karen.adams@northfield-hr.com"/>
    <x v="6"/>
    <x v="3"/>
    <x v="3"/>
    <x v="1"/>
  </r>
  <r>
    <s v="E01724"/>
    <s v="Mateo"/>
    <s v="Wilson"/>
    <x v="0"/>
    <n v="29"/>
    <x v="9"/>
    <x v="4"/>
    <n v="80030"/>
    <d v="2021-09-01T00:00:00"/>
    <n v="5"/>
    <s v="mateo.wilson@northfield-hr.com"/>
    <x v="13"/>
    <x v="0"/>
    <x v="1"/>
    <x v="2"/>
  </r>
  <r>
    <s v="E01618"/>
    <s v="David"/>
    <s v="Moore"/>
    <x v="0"/>
    <n v="60"/>
    <x v="10"/>
    <x v="3"/>
    <n v="98956"/>
    <d v="2005-08-12T00:00:00"/>
    <n v="21"/>
    <s v="david.moore@northfield-hr.com"/>
    <x v="0"/>
    <x v="2"/>
    <x v="0"/>
    <x v="2"/>
  </r>
  <r>
    <s v="E01655"/>
    <s v="Susan"/>
    <s v="Lee"/>
    <x v="0"/>
    <n v="37"/>
    <x v="3"/>
    <x v="4"/>
    <n v="63034"/>
    <d v="2021-01-20T00:00:00"/>
    <n v="5"/>
    <s v="susan.lee@northfield-hr.com"/>
    <x v="9"/>
    <x v="3"/>
    <x v="3"/>
    <x v="2"/>
  </r>
  <r>
    <s v="E02329"/>
    <s v="David"/>
    <s v="Anderson"/>
    <x v="2"/>
    <n v="28"/>
    <x v="5"/>
    <x v="5"/>
    <n v="60436.13"/>
    <d v="2024-08-06T00:00:00"/>
    <n v="2"/>
    <s v="david.anderson@northfield-hr.com"/>
    <x v="5"/>
    <x v="0"/>
    <x v="1"/>
    <x v="2"/>
  </r>
  <r>
    <s v="E04614"/>
    <s v="David"/>
    <s v="Robinson"/>
    <x v="1"/>
    <n v="31"/>
    <x v="8"/>
    <x v="4"/>
    <n v="47361"/>
    <d v="2021-09-20T00:00:00"/>
    <n v="5"/>
    <s v="david.robinson@northfield-hr.com"/>
    <x v="8"/>
    <x v="3"/>
    <x v="6"/>
    <x v="1"/>
  </r>
  <r>
    <s v="E00222"/>
    <s v="Mateo"/>
    <s v="Davis"/>
    <x v="2"/>
    <n v="56"/>
    <x v="5"/>
    <x v="6"/>
    <n v="50576.5"/>
    <d v="2006-11-19T00:00:00"/>
    <n v="19"/>
    <s v="mateo.davis@northfield-hr.com"/>
    <x v="9"/>
    <x v="0"/>
    <x v="0"/>
    <x v="2"/>
  </r>
  <r>
    <s v="E00094"/>
    <s v="Amara"/>
    <s v="Moore"/>
    <x v="2"/>
    <n v="37"/>
    <x v="2"/>
    <x v="3"/>
    <n v="54674"/>
    <d v="2024-02-08T00:00:00"/>
    <n v="2"/>
    <s v="amara.moore@northfield-hr.com"/>
    <x v="3"/>
    <x v="3"/>
    <x v="3"/>
    <x v="2"/>
  </r>
  <r>
    <s v="E02610"/>
    <s v="Jessica"/>
    <s v="Clark"/>
    <x v="2"/>
    <n v="35"/>
    <x v="6"/>
    <x v="5"/>
    <n v="81505"/>
    <d v="2017-04-03T00:00:00"/>
    <n v="9"/>
    <s v="jessica.clark@northfield-hr.com"/>
    <x v="11"/>
    <x v="2"/>
    <x v="6"/>
    <x v="2"/>
  </r>
  <r>
    <s v="E03383"/>
    <s v="Sofia"/>
    <s v="Lee"/>
    <x v="1"/>
    <n v="42"/>
    <x v="10"/>
    <x v="0"/>
    <n v="113306"/>
    <d v="2019-04-04T00:00:00"/>
    <n v="7"/>
    <s v="sofia.lee@northfield-hr.com"/>
    <x v="10"/>
    <x v="0"/>
    <x v="4"/>
    <x v="0"/>
  </r>
  <r>
    <s v="E04416"/>
    <s v="John"/>
    <s v="King"/>
    <x v="0"/>
    <n v="49"/>
    <x v="0"/>
    <x v="4"/>
    <n v="80749"/>
    <d v="2008-01-21T00:00:00"/>
    <n v="18"/>
    <s v="john.king@northfield-hr.com"/>
    <x v="2"/>
    <x v="4"/>
    <x v="2"/>
    <x v="2"/>
  </r>
  <r>
    <s v="E01398"/>
    <s v="John"/>
    <s v="Walker"/>
    <x v="2"/>
    <n v="39"/>
    <x v="5"/>
    <x v="7"/>
    <n v="92766"/>
    <d v="2016-09-30T00:00:00"/>
    <n v="10"/>
    <s v="john.walker@northfield-hr.com"/>
    <x v="11"/>
    <x v="3"/>
    <x v="3"/>
    <x v="2"/>
  </r>
  <r>
    <s v="E04687"/>
    <s v="Barbara"/>
    <s v="Wright"/>
    <x v="1"/>
    <n v="41"/>
    <x v="5"/>
    <x v="1"/>
    <n v="53166.62"/>
    <d v="2020-11-07T00:00:00"/>
    <n v="5"/>
    <s v="barbara.wright@northfield-hr.com"/>
    <x v="4"/>
    <x v="3"/>
    <x v="4"/>
    <x v="2"/>
  </r>
  <r>
    <s v="E01293"/>
    <s v="John"/>
    <s v="Clark"/>
    <x v="0"/>
    <n v="43"/>
    <x v="2"/>
    <x v="4"/>
    <n v="44379"/>
    <d v="2014-05-08T00:00:00"/>
    <n v="12"/>
    <s v="john.clark@northfield-hr.com"/>
    <x v="8"/>
    <x v="0"/>
    <x v="4"/>
    <x v="1"/>
  </r>
  <r>
    <s v="E02165"/>
    <s v="Joseph"/>
    <s v="Rodriguez"/>
    <x v="2"/>
    <n v="33"/>
    <x v="0"/>
    <x v="0"/>
    <n v="144721"/>
    <d v="2018-10-17T00:00:00"/>
    <n v="7"/>
    <s v="joseph.rodriguez@northfield-hr.com"/>
    <x v="9"/>
    <x v="0"/>
    <x v="6"/>
    <x v="0"/>
  </r>
  <r>
    <s v="E02940"/>
    <s v="Charles"/>
    <s v="Davis"/>
    <x v="1"/>
    <n v="41"/>
    <x v="1"/>
    <x v="4"/>
    <n v="75470"/>
    <d v="2012-03-27T00:00:00"/>
    <n v="14"/>
    <s v="charles.davis@northfield-hr.com"/>
    <x v="10"/>
    <x v="1"/>
    <x v="4"/>
    <x v="2"/>
  </r>
  <r>
    <s v="E03669"/>
    <s v="Priya"/>
    <s v="Lopez"/>
    <x v="0"/>
    <n v="31"/>
    <x v="6"/>
    <x v="1"/>
    <n v="76276.13"/>
    <d v="2016-02-23T00:00:00"/>
    <n v="10"/>
    <s v="priya.lopez@northfield-hr.com"/>
    <x v="1"/>
    <x v="0"/>
    <x v="6"/>
    <x v="2"/>
  </r>
  <r>
    <s v="E00813"/>
    <s v="Thomas"/>
    <s v="Jones"/>
    <x v="2"/>
    <n v="48"/>
    <x v="9"/>
    <x v="6"/>
    <n v="62827.05"/>
    <d v="2011-09-26T00:00:00"/>
    <n v="15"/>
    <s v="thomas.jones@northfield-hr.com"/>
    <x v="11"/>
    <x v="0"/>
    <x v="2"/>
    <x v="2"/>
  </r>
  <r>
    <s v="E01259"/>
    <s v="Richard"/>
    <s v="Adams"/>
    <x v="1"/>
    <n v="30"/>
    <x v="6"/>
    <x v="1"/>
    <n v="77026"/>
    <d v="2017-02-24T00:00:00"/>
    <n v="9"/>
    <s v="richard.adams@northfield-hr.com"/>
    <x v="12"/>
    <x v="1"/>
    <x v="1"/>
    <x v="2"/>
  </r>
  <r>
    <s v="E00890"/>
    <s v="James"/>
    <s v="Harris"/>
    <x v="0"/>
    <n v="31"/>
    <x v="5"/>
    <x v="5"/>
    <n v="59871"/>
    <d v="2023-07-05T00:00:00"/>
    <n v="3"/>
    <s v="james.harris@northfield-hr.com"/>
    <x v="9"/>
    <x v="0"/>
    <x v="6"/>
    <x v="2"/>
  </r>
  <r>
    <s v="E01452"/>
    <s v="Priya"/>
    <s v="Sanchez"/>
    <x v="0"/>
    <n v="41"/>
    <x v="4"/>
    <x v="3"/>
    <n v="60128"/>
    <s v=""/>
    <s v=""/>
    <s v="priya.sanchez@northfield-hr.com"/>
    <x v="2"/>
    <x v="3"/>
    <x v="4"/>
    <x v="2"/>
  </r>
  <r>
    <s v="E03317"/>
    <s v="Fatima"/>
    <s v="Clark"/>
    <x v="2"/>
    <n v="42"/>
    <x v="10"/>
    <x v="6"/>
    <n v="81356"/>
    <d v="2014-04-16T00:00:00"/>
    <n v="12"/>
    <s v="fatima.clark@northfield-hr.com"/>
    <x v="10"/>
    <x v="0"/>
    <x v="4"/>
    <x v="2"/>
  </r>
  <r>
    <s v="E02560"/>
    <s v="James"/>
    <s v="Anderson"/>
    <x v="0"/>
    <n v="46"/>
    <x v="1"/>
    <x v="0"/>
    <n v="107866"/>
    <d v="2020-12-07T00:00:00"/>
    <n v="5"/>
    <s v="james.anderson@northfield-hr.com"/>
    <x v="10"/>
    <x v="0"/>
    <x v="2"/>
    <x v="0"/>
  </r>
  <r>
    <s v="E03575"/>
    <s v="Charles"/>
    <s v="Johnson"/>
    <x v="0"/>
    <n v="48"/>
    <x v="2"/>
    <x v="0"/>
    <n v="59638.98"/>
    <d v="2007-11-19T00:00:00"/>
    <n v="18"/>
    <s v="charles.johnson@northfield-hr.com"/>
    <x v="7"/>
    <x v="3"/>
    <x v="2"/>
    <x v="2"/>
  </r>
  <r>
    <s v="E02681"/>
    <s v="Charles"/>
    <s v="Lee"/>
    <x v="0"/>
    <n v="39"/>
    <x v="8"/>
    <x v="7"/>
    <n v="86678"/>
    <d v="2010-06-22T00:00:00"/>
    <n v="16"/>
    <s v="charles.lee@northfield-hr.com"/>
    <x v="8"/>
    <x v="1"/>
    <x v="3"/>
    <x v="2"/>
  </r>
  <r>
    <s v="E04652"/>
    <s v="David"/>
    <s v="Davis"/>
    <x v="1"/>
    <n v="39"/>
    <x v="2"/>
    <x v="1"/>
    <n v="45047"/>
    <d v="2008-05-19T00:00:00"/>
    <n v="18"/>
    <s v="david.davis@northfield-hr.com"/>
    <x v="5"/>
    <x v="3"/>
    <x v="3"/>
    <x v="1"/>
  </r>
  <r>
    <s v="E03792"/>
    <s v="Liam"/>
    <s v="Miller"/>
    <x v="1"/>
    <n v="51"/>
    <x v="6"/>
    <x v="2"/>
    <n v="161135"/>
    <d v="2005-02-06T00:00:00"/>
    <n v="21"/>
    <s v="liam.miller@northfield-hr.com"/>
    <x v="9"/>
    <x v="0"/>
    <x v="5"/>
    <x v="3"/>
  </r>
  <r>
    <s v="E04680"/>
    <s v="Ingrid"/>
    <s v="Scott"/>
    <x v="1"/>
    <n v="41"/>
    <x v="8"/>
    <x v="3"/>
    <n v="58975.33"/>
    <d v="2017-04-15T00:00:00"/>
    <n v="9"/>
    <s v="ingrid.scott@northfield-hr.com"/>
    <x v="1"/>
    <x v="0"/>
    <x v="4"/>
    <x v="2"/>
  </r>
  <r>
    <s v="E02965"/>
    <s v="Chidi"/>
    <s v="Adams"/>
    <x v="1"/>
    <n v="42"/>
    <x v="0"/>
    <x v="4"/>
    <n v="91170"/>
    <d v="2006-04-05T00:00:00"/>
    <n v="20"/>
    <s v="chidi.adams@northfield-hr.com"/>
    <x v="6"/>
    <x v="0"/>
    <x v="4"/>
    <x v="2"/>
  </r>
  <r>
    <s v="E02673"/>
    <s v="Susan"/>
    <s v="Scott"/>
    <x v="0"/>
    <n v="54"/>
    <x v="7"/>
    <x v="4"/>
    <n v="65732"/>
    <d v="2010-01-29T00:00:00"/>
    <n v="16"/>
    <s v="susan.scott@northfield-hr.com"/>
    <x v="7"/>
    <x v="0"/>
    <x v="5"/>
    <x v="2"/>
  </r>
  <r>
    <s v="E00562"/>
    <s v="Mateo"/>
    <s v="Torres"/>
    <x v="0"/>
    <n v="35"/>
    <x v="6"/>
    <x v="4"/>
    <n v="75942"/>
    <d v="2017-09-03T00:00:00"/>
    <n v="9"/>
    <s v="mateo.torres@northfield-hr.com"/>
    <x v="3"/>
    <x v="1"/>
    <x v="6"/>
    <x v="2"/>
  </r>
  <r>
    <s v="E02779"/>
    <s v="Carlos"/>
    <s v="Torres"/>
    <x v="0"/>
    <n v="48"/>
    <x v="5"/>
    <x v="4"/>
    <n v="52018.05"/>
    <s v=""/>
    <s v=""/>
    <s v="carlos.torres@northfield-hr.com"/>
    <x v="3"/>
    <x v="3"/>
    <x v="2"/>
    <x v="2"/>
  </r>
  <r>
    <s v="E02949"/>
    <s v="Mohammed"/>
    <s v="Martin"/>
    <x v="1"/>
    <n v="48"/>
    <x v="9"/>
    <x v="3"/>
    <n v="58991"/>
    <d v="2007-05-02T00:00:00"/>
    <n v="19"/>
    <s v="mohammed.martin@northfield-hr.com"/>
    <x v="9"/>
    <x v="3"/>
    <x v="2"/>
    <x v="2"/>
  </r>
  <r>
    <s v="E02818"/>
    <s v="Jennifer"/>
    <s v="White"/>
    <x v="0"/>
    <n v="45"/>
    <x v="1"/>
    <x v="7"/>
    <n v="133578"/>
    <d v="2017-04-25T00:00:00"/>
    <n v="9"/>
    <s v="jennifer.white@northfield-hr.com"/>
    <x v="6"/>
    <x v="2"/>
    <x v="4"/>
    <x v="0"/>
  </r>
  <r>
    <s v="E02759"/>
    <s v="James"/>
    <s v="Wright"/>
    <x v="0"/>
    <n v="44"/>
    <x v="3"/>
    <x v="1"/>
    <n v="60861"/>
    <d v="2014-04-15T00:00:00"/>
    <n v="12"/>
    <s v="james.wright@northfield-hr.com"/>
    <x v="11"/>
    <x v="0"/>
    <x v="4"/>
    <x v="2"/>
  </r>
  <r>
    <s v="E01757"/>
    <s v="Aiko"/>
    <s v="Jackson"/>
    <x v="1"/>
    <n v="36"/>
    <x v="1"/>
    <x v="1"/>
    <n v="97210.36"/>
    <d v="2011-04-05T00:00:00"/>
    <n v="15"/>
    <s v="aiko.jackson@northfield-hr.com"/>
    <x v="2"/>
    <x v="3"/>
    <x v="3"/>
    <x v="2"/>
  </r>
  <r>
    <s v="E00725"/>
    <s v="Barbara"/>
    <s v="Wright"/>
    <x v="2"/>
    <n v="38"/>
    <x v="2"/>
    <x v="4"/>
    <n v="44842"/>
    <d v="2012-04-05T00:00:00"/>
    <n v="14"/>
    <s v="barbara.wright@northfield-hr.com"/>
    <x v="1"/>
    <x v="0"/>
    <x v="3"/>
    <x v="1"/>
  </r>
  <r>
    <s v="E00220"/>
    <s v="Aiko"/>
    <s v="Allen"/>
    <x v="0"/>
    <n v="37"/>
    <x v="2"/>
    <x v="0"/>
    <n v="53897"/>
    <d v="2014-05-23T00:00:00"/>
    <n v="12"/>
    <s v="aiko.allen@northfield-hr.com"/>
    <x v="2"/>
    <x v="3"/>
    <x v="3"/>
    <x v="2"/>
  </r>
  <r>
    <s v="E04140"/>
    <s v="Wei"/>
    <s v="Torres"/>
    <x v="2"/>
    <n v="49"/>
    <x v="8"/>
    <x v="3"/>
    <n v="56689"/>
    <d v="2011-02-08T00:00:00"/>
    <n v="15"/>
    <s v="wei.torres@northfield-hr.com"/>
    <x v="6"/>
    <x v="0"/>
    <x v="2"/>
    <x v="2"/>
  </r>
  <r>
    <s v="E03958"/>
    <s v="Mateo"/>
    <s v="Perez"/>
    <x v="2"/>
    <n v="38"/>
    <x v="5"/>
    <x v="3"/>
    <n v="63340"/>
    <d v="2017-12-22T00:00:00"/>
    <n v="8"/>
    <s v="mateo.perez@northfield-hr.com"/>
    <x v="5"/>
    <x v="3"/>
    <x v="3"/>
    <x v="2"/>
  </r>
  <r>
    <s v="E01589"/>
    <s v="Ingrid"/>
    <s v="Gonzalez"/>
    <x v="2"/>
    <n v="32"/>
    <x v="8"/>
    <x v="4"/>
    <n v="43515"/>
    <d v="2015-10-11T00:00:00"/>
    <n v="10"/>
    <s v="ingrid.gonzalez@northfield-hr.com"/>
    <x v="4"/>
    <x v="0"/>
    <x v="6"/>
    <x v="1"/>
  </r>
  <r>
    <s v="E03348"/>
    <s v="Linda"/>
    <s v="Walker"/>
    <x v="1"/>
    <n v="35"/>
    <x v="2"/>
    <x v="0"/>
    <n v="64999"/>
    <d v="2018-09-06T00:00:00"/>
    <n v="8"/>
    <s v="linda.walker@northfield-hr.com"/>
    <x v="2"/>
    <x v="0"/>
    <x v="6"/>
    <x v="2"/>
  </r>
  <r>
    <s v="E03971"/>
    <s v="David"/>
    <s v="Moore"/>
    <x v="0"/>
    <n v="61"/>
    <x v="0"/>
    <x v="3"/>
    <n v="86666"/>
    <d v="2005-09-21T00:00:00"/>
    <n v="21"/>
    <s v="david.moore@northfield-hr.com"/>
    <x v="11"/>
    <x v="1"/>
    <x v="7"/>
    <x v="2"/>
  </r>
  <r>
    <s v="E02214"/>
    <s v="Mohammed"/>
    <s v="Taylor"/>
    <x v="0"/>
    <n v="41"/>
    <x v="0"/>
    <x v="5"/>
    <n v="100747"/>
    <d v="2014-02-22T00:00:00"/>
    <n v="12"/>
    <s v="mohammed.taylor@northfield-hr.com"/>
    <x v="2"/>
    <x v="0"/>
    <x v="4"/>
    <x v="0"/>
  </r>
  <r>
    <s v="E00044"/>
    <s v="Noah"/>
    <s v="Wright"/>
    <x v="0"/>
    <n v="41"/>
    <x v="6"/>
    <x v="1"/>
    <n v="82102"/>
    <d v="2011-10-15T00:00:00"/>
    <n v="14"/>
    <s v="noah.wright@northfield-hr.com"/>
    <x v="7"/>
    <x v="1"/>
    <x v="4"/>
    <x v="2"/>
  </r>
  <r>
    <s v="E03002"/>
    <s v="Robert"/>
    <s v="Johnson"/>
    <x v="1"/>
    <n v="32"/>
    <x v="4"/>
    <x v="0"/>
    <n v="72122"/>
    <d v="2019-02-26T00:00:00"/>
    <n v="7"/>
    <s v="robert.johnson@northfield-hr.com"/>
    <x v="9"/>
    <x v="0"/>
    <x v="6"/>
    <x v="2"/>
  </r>
  <r>
    <s v="E00211"/>
    <s v="Mohammed"/>
    <s v="Rodriguez"/>
    <x v="0"/>
    <n v="55"/>
    <x v="7"/>
    <x v="2"/>
    <n v="172632.23"/>
    <d v="2020-11-24T00:00:00"/>
    <n v="5"/>
    <s v="mohammed.rodriguez@northfield-hr.com"/>
    <x v="0"/>
    <x v="0"/>
    <x v="5"/>
    <x v="3"/>
  </r>
  <r>
    <s v="E00678"/>
    <s v="Liam"/>
    <s v="Walker"/>
    <x v="0"/>
    <n v="42"/>
    <x v="3"/>
    <x v="3"/>
    <n v="66972"/>
    <d v="2005-09-24T00:00:00"/>
    <n v="21"/>
    <s v="liam.walker@northfield-hr.com"/>
    <x v="11"/>
    <x v="0"/>
    <x v="4"/>
    <x v="2"/>
  </r>
  <r>
    <s v="E00355"/>
    <s v="Fatima"/>
    <s v="Brown"/>
    <x v="1"/>
    <n v="54"/>
    <x v="5"/>
    <x v="3"/>
    <n v="54257"/>
    <d v="2014-10-21T00:00:00"/>
    <n v="11"/>
    <s v="fatima.brown@northfield-hr.com"/>
    <x v="3"/>
    <x v="3"/>
    <x v="5"/>
    <x v="2"/>
  </r>
  <r>
    <s v="E01434"/>
    <s v="James"/>
    <s v="Wilson"/>
    <x v="1"/>
    <n v="42"/>
    <x v="5"/>
    <x v="1"/>
    <n v="52057"/>
    <d v="2013-02-16T00:00:00"/>
    <n v="13"/>
    <s v="james.wilson@northfield-hr.com"/>
    <x v="11"/>
    <x v="0"/>
    <x v="4"/>
    <x v="2"/>
  </r>
  <r>
    <s v="E00950"/>
    <s v="William"/>
    <s v="Wright"/>
    <x v="2"/>
    <n v="54"/>
    <x v="2"/>
    <x v="3"/>
    <n v="52662"/>
    <d v="2007-09-23T00:00:00"/>
    <n v="19"/>
    <s v="william.wright@northfield-hr.com"/>
    <x v="5"/>
    <x v="0"/>
    <x v="5"/>
    <x v="2"/>
  </r>
  <r>
    <s v="E02844"/>
    <s v="Charles"/>
    <s v="Taylor"/>
    <x v="1"/>
    <n v="47"/>
    <x v="5"/>
    <x v="6"/>
    <n v="54580"/>
    <d v="2012-06-10T00:00:00"/>
    <n v="14"/>
    <s v="charles.taylor@northfield-hr.com"/>
    <x v="11"/>
    <x v="1"/>
    <x v="2"/>
    <x v="2"/>
  </r>
  <r>
    <s v="E00578"/>
    <s v="Barbara"/>
    <s v="Nguyen"/>
    <x v="1"/>
    <n v="48"/>
    <x v="10"/>
    <x v="0"/>
    <n v="131470"/>
    <d v="2021-05-21T00:00:00"/>
    <n v="5"/>
    <s v="barbara.nguyen@northfield-hr.com"/>
    <x v="10"/>
    <x v="2"/>
    <x v="2"/>
    <x v="0"/>
  </r>
  <r>
    <s v="E03929"/>
    <s v="Fatima"/>
    <s v="Sanchez"/>
    <x v="1"/>
    <n v="47"/>
    <x v="4"/>
    <x v="1"/>
    <n v="48790"/>
    <d v="2008-01-07T00:00:00"/>
    <n v="18"/>
    <s v="fatima.sanchez@northfield-hr.com"/>
    <x v="1"/>
    <x v="0"/>
    <x v="2"/>
    <x v="1"/>
  </r>
  <r>
    <s v="E00545"/>
    <s v="Patricia"/>
    <s v="Miller"/>
    <x v="0"/>
    <n v="36"/>
    <x v="3"/>
    <x v="5"/>
    <n v="63652.98"/>
    <d v="2023-10-03T00:00:00"/>
    <n v="3"/>
    <s v="patricia.miller@northfield-hr.com"/>
    <x v="5"/>
    <x v="2"/>
    <x v="3"/>
    <x v="2"/>
  </r>
  <r>
    <s v="E00368"/>
    <s v="Yuki"/>
    <s v="Harris"/>
    <x v="2"/>
    <n v="42"/>
    <x v="4"/>
    <x v="1"/>
    <n v="58445.95"/>
    <d v="2014-11-16T00:00:00"/>
    <n v="11"/>
    <s v="yuki.harris@northfield-hr.com"/>
    <x v="13"/>
    <x v="0"/>
    <x v="4"/>
    <x v="2"/>
  </r>
  <r>
    <s v="E01613"/>
    <s v="Mohammed"/>
    <s v="Adams"/>
    <x v="1"/>
    <n v="28"/>
    <x v="0"/>
    <x v="3"/>
    <n v="98373"/>
    <s v=""/>
    <s v=""/>
    <s v="mohammed.adams@northfield-hr.com"/>
    <x v="1"/>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FC306A-1CA1-46B3-B39C-5BF7D93FE68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19:D28" firstHeaderRow="1" firstDataRow="1" firstDataCol="1"/>
  <pivotFields count="15">
    <pivotField dataField="1" showAll="0" countASubtotal="1"/>
    <pivotField showAll="0"/>
    <pivotField showAll="0"/>
    <pivotField showAll="0"/>
    <pivotField showAll="0"/>
    <pivotField showAll="0"/>
    <pivotField showAll="0">
      <items count="11">
        <item x="1"/>
        <item x="4"/>
        <item x="6"/>
        <item x="2"/>
        <item x="0"/>
        <item m="1" x="9"/>
        <item x="3"/>
        <item x="7"/>
        <item x="5"/>
        <item x="8"/>
        <item t="default"/>
      </items>
    </pivotField>
    <pivotField numFmtId="164" showAll="0"/>
    <pivotField showAll="0"/>
    <pivotField showAll="0"/>
    <pivotField showAll="0"/>
    <pivotField showAll="0"/>
    <pivotField showAll="0"/>
    <pivotField axis="axisRow" showAll="0">
      <items count="9">
        <item x="1"/>
        <item x="6"/>
        <item x="3"/>
        <item x="4"/>
        <item x="2"/>
        <item x="5"/>
        <item x="0"/>
        <item x="7"/>
        <item t="default"/>
      </items>
    </pivotField>
    <pivotField showAll="0"/>
  </pivotFields>
  <rowFields count="1">
    <field x="13"/>
  </rowFields>
  <rowItems count="9">
    <i>
      <x/>
    </i>
    <i>
      <x v="1"/>
    </i>
    <i>
      <x v="2"/>
    </i>
    <i>
      <x v="3"/>
    </i>
    <i>
      <x v="4"/>
    </i>
    <i>
      <x v="5"/>
    </i>
    <i>
      <x v="6"/>
    </i>
    <i>
      <x v="7"/>
    </i>
    <i t="grand">
      <x/>
    </i>
  </rowItems>
  <colItems count="1">
    <i/>
  </colItems>
  <dataFields count="1">
    <dataField name="Count of Employee ID" fld="0" subtotal="count" baseField="0" baseItem="0"/>
  </dataFields>
  <chartFormats count="9">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4"/>
          </reference>
        </references>
      </pivotArea>
    </chartFormat>
    <chartFormat chart="3" format="4">
      <pivotArea type="data" outline="0" fieldPosition="0">
        <references count="2">
          <reference field="4294967294" count="1" selected="0">
            <x v="0"/>
          </reference>
          <reference field="13" count="1" selected="0">
            <x v="5"/>
          </reference>
        </references>
      </pivotArea>
    </chartFormat>
    <chartFormat chart="3" format="5">
      <pivotArea type="data" outline="0" fieldPosition="0">
        <references count="2">
          <reference field="4294967294" count="1" selected="0">
            <x v="0"/>
          </reference>
          <reference field="13" count="1" selected="0">
            <x v="6"/>
          </reference>
        </references>
      </pivotArea>
    </chartFormat>
    <chartFormat chart="3" format="6">
      <pivotArea type="data" outline="0" fieldPosition="0">
        <references count="2">
          <reference field="4294967294" count="1" selected="0">
            <x v="0"/>
          </reference>
          <reference field="13" count="1" selected="0">
            <x v="7"/>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 chart="3" format="9">
      <pivotArea type="data" outline="0" fieldPosition="0">
        <references count="2">
          <reference field="4294967294" count="1" selected="0">
            <x v="0"/>
          </reference>
          <reference field="13" count="1" selected="0">
            <x v="3"/>
          </reference>
        </references>
      </pivotArea>
    </chartFormat>
    <chartFormat chart="3" format="10">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9EB68A-1655-4266-831F-3E30CFDDBF0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9:G25" firstHeaderRow="1" firstDataRow="1" firstDataCol="1"/>
  <pivotFields count="15">
    <pivotField dataField="1" showAll="0" countASubtotal="1"/>
    <pivotField showAll="0"/>
    <pivotField showAll="0"/>
    <pivotField showAll="0"/>
    <pivotField showAll="0"/>
    <pivotField showAll="0"/>
    <pivotField showAll="0">
      <items count="11">
        <item x="1"/>
        <item x="4"/>
        <item x="6"/>
        <item x="2"/>
        <item x="0"/>
        <item m="1" x="9"/>
        <item x="3"/>
        <item x="7"/>
        <item x="5"/>
        <item x="8"/>
        <item t="default"/>
      </items>
    </pivotField>
    <pivotField numFmtId="164" showAll="0"/>
    <pivotField showAll="0"/>
    <pivotField showAll="0"/>
    <pivotField showAll="0"/>
    <pivotField showAll="0"/>
    <pivotField showAll="0"/>
    <pivotField showAll="0"/>
    <pivotField axis="axisRow"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s>
  <rowFields count="1">
    <field x="14"/>
  </rowFields>
  <rowItems count="6">
    <i>
      <x v="3"/>
    </i>
    <i>
      <x/>
    </i>
    <i>
      <x v="2"/>
    </i>
    <i>
      <x v="1"/>
    </i>
    <i>
      <x v="4"/>
    </i>
    <i t="grand">
      <x/>
    </i>
  </rowItems>
  <colItems count="1">
    <i/>
  </colItems>
  <dataFields count="1">
    <dataField name="Count of Employee ID" fld="0" subtotal="count"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3"/>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DCB23C-FB7E-4FFC-96D7-E69940A67B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countASubtotal="1"/>
    <pivotField showAll="0"/>
    <pivotField showAll="0"/>
    <pivotField showAll="0"/>
    <pivotField showAll="0"/>
    <pivotField showAll="0"/>
    <pivotField showAll="0">
      <items count="11">
        <item x="1"/>
        <item x="4"/>
        <item x="6"/>
        <item x="2"/>
        <item x="0"/>
        <item m="1" x="9"/>
        <item x="3"/>
        <item x="7"/>
        <item x="5"/>
        <item x="8"/>
        <item t="default"/>
      </items>
    </pivotField>
    <pivotField numFmtId="164" showAll="0"/>
    <pivotField showAll="0"/>
    <pivotField showAll="0"/>
    <pivotField showAll="0"/>
    <pivotField showAll="0"/>
    <pivotField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6441D0-313E-41A1-92C5-9A71DC005C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2:K27" firstHeaderRow="1" firstDataRow="1" firstDataCol="1"/>
  <pivotFields count="15">
    <pivotField dataField="1" showAll="0" countASubtotal="1"/>
    <pivotField showAll="0"/>
    <pivotField showAll="0"/>
    <pivotField showAll="0"/>
    <pivotField showAll="0"/>
    <pivotField showAll="0"/>
    <pivotField showAll="0">
      <items count="11">
        <item x="1"/>
        <item x="4"/>
        <item x="6"/>
        <item x="2"/>
        <item x="0"/>
        <item m="1" x="9"/>
        <item x="3"/>
        <item x="7"/>
        <item x="5"/>
        <item x="8"/>
        <item t="default"/>
      </items>
    </pivotField>
    <pivotField numFmtId="164" showAll="0"/>
    <pivotField showAll="0"/>
    <pivotField showAll="0"/>
    <pivotField showAll="0"/>
    <pivotField axis="axisRow" showAll="0" sortType="ascending">
      <items count="15">
        <item x="13"/>
        <item x="2"/>
        <item x="12"/>
        <item x="0"/>
        <item x="8"/>
        <item x="4"/>
        <item x="7"/>
        <item x="9"/>
        <item x="10"/>
        <item x="5"/>
        <item x="6"/>
        <item x="11"/>
        <item x="1"/>
        <item x="3"/>
        <item t="default"/>
      </items>
    </pivotField>
    <pivotField showAll="0"/>
    <pivotField showAll="0"/>
    <pivotField showAll="0"/>
  </pivotFields>
  <rowFields count="1">
    <field x="11"/>
  </rowFields>
  <rowItems count="15">
    <i>
      <x/>
    </i>
    <i>
      <x v="1"/>
    </i>
    <i>
      <x v="2"/>
    </i>
    <i>
      <x v="3"/>
    </i>
    <i>
      <x v="4"/>
    </i>
    <i>
      <x v="5"/>
    </i>
    <i>
      <x v="6"/>
    </i>
    <i>
      <x v="7"/>
    </i>
    <i>
      <x v="8"/>
    </i>
    <i>
      <x v="9"/>
    </i>
    <i>
      <x v="10"/>
    </i>
    <i>
      <x v="11"/>
    </i>
    <i>
      <x v="12"/>
    </i>
    <i>
      <x v="13"/>
    </i>
    <i t="grand">
      <x/>
    </i>
  </rowItems>
  <colItems count="1">
    <i/>
  </colItems>
  <dataFields count="1">
    <dataField name="Count of Employee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EBAB64-99E8-4970-BB4B-765BE946207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9:G33" firstHeaderRow="1" firstDataRow="1" firstDataCol="1"/>
  <pivotFields count="15">
    <pivotField dataField="1" showAll="0" countASubtotal="1"/>
    <pivotField showAll="0"/>
    <pivotField showAll="0"/>
    <pivotField axis="axisRow" showAll="0">
      <items count="4">
        <item x="1"/>
        <item x="2"/>
        <item x="0"/>
        <item t="default"/>
      </items>
    </pivotField>
    <pivotField showAll="0"/>
    <pivotField showAll="0"/>
    <pivotField showAll="0">
      <items count="11">
        <item x="1"/>
        <item x="4"/>
        <item x="6"/>
        <item x="2"/>
        <item x="0"/>
        <item m="1" x="9"/>
        <item x="3"/>
        <item x="7"/>
        <item x="5"/>
        <item x="8"/>
        <item t="default"/>
      </items>
    </pivotField>
    <pivotField numFmtId="164"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Employee ID" fld="0" subtotal="count" baseField="3" baseItem="0"/>
  </dataFields>
  <formats count="7">
    <format dxfId="470">
      <pivotArea type="all" dataOnly="0" outline="0" fieldPosition="0"/>
    </format>
    <format dxfId="469">
      <pivotArea outline="0" collapsedLevelsAreSubtotals="1" fieldPosition="0"/>
    </format>
    <format dxfId="468">
      <pivotArea dataOnly="0" labelOnly="1" outline="0" axis="axisValues" fieldPosition="0"/>
    </format>
    <format dxfId="467">
      <pivotArea collapsedLevelsAreSubtotals="1" fieldPosition="0">
        <references count="1">
          <reference field="3" count="1">
            <x v="0"/>
          </reference>
        </references>
      </pivotArea>
    </format>
    <format dxfId="466">
      <pivotArea collapsedLevelsAreSubtotals="1" fieldPosition="0">
        <references count="1">
          <reference field="3" count="1">
            <x v="1"/>
          </reference>
        </references>
      </pivotArea>
    </format>
    <format dxfId="465">
      <pivotArea collapsedLevelsAreSubtotals="1" fieldPosition="0">
        <references count="1">
          <reference field="3" count="1">
            <x v="2"/>
          </reference>
        </references>
      </pivotArea>
    </format>
    <format dxfId="46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E80762-8603-439C-8BF4-1BA68ECF0E26}"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A12" firstHeaderRow="1" firstDataRow="1" firstDataCol="0"/>
  <pivotFields count="15">
    <pivotField showAll="0" countASubtotal="1"/>
    <pivotField showAll="0"/>
    <pivotField showAll="0"/>
    <pivotField showAll="0"/>
    <pivotField showAll="0"/>
    <pivotField showAll="0"/>
    <pivotField showAll="0">
      <items count="11">
        <item x="1"/>
        <item x="4"/>
        <item x="6"/>
        <item x="2"/>
        <item x="0"/>
        <item m="1" x="9"/>
        <item x="3"/>
        <item x="7"/>
        <item x="5"/>
        <item x="8"/>
        <item t="default"/>
      </items>
    </pivotField>
    <pivotField dataField="1" numFmtId="164" showAll="0"/>
    <pivotField showAll="0"/>
    <pivotField showAll="0"/>
    <pivotField showAll="0"/>
    <pivotField showAll="0"/>
    <pivotField showAll="0"/>
    <pivotField showAll="0"/>
    <pivotField showAll="0"/>
  </pivotFields>
  <rowItems count="1">
    <i/>
  </rowItems>
  <colItems count="1">
    <i/>
  </colItems>
  <dataFields count="1">
    <dataField name="Average of Salary" fld="7" subtotal="average" baseField="0" baseItem="0" numFmtId="164"/>
  </dataFields>
  <formats count="3">
    <format dxfId="472">
      <pivotArea type="all" dataOnly="0" outline="0" fieldPosition="0"/>
    </format>
    <format dxfId="471">
      <pivotArea dataOnly="0" labelOnly="1" outline="0" axis="axisValues" fieldPosition="0"/>
    </format>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6412F2-BA03-44E8-A85F-49D08E9F37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9" firstHeaderRow="1" firstDataRow="1" firstDataCol="1"/>
  <pivotFields count="15">
    <pivotField dataField="1" showAll="0" countASubtotal="1"/>
    <pivotField showAll="0"/>
    <pivotField showAll="0"/>
    <pivotField showAll="0"/>
    <pivotField showAll="0"/>
    <pivotField showAll="0"/>
    <pivotField showAll="0">
      <items count="11">
        <item x="1"/>
        <item x="4"/>
        <item x="6"/>
        <item x="2"/>
        <item x="0"/>
        <item m="1" x="9"/>
        <item x="3"/>
        <item x="7"/>
        <item x="5"/>
        <item x="8"/>
        <item t="default"/>
      </items>
    </pivotField>
    <pivotField numFmtId="164" showAll="0"/>
    <pivotField showAll="0"/>
    <pivotField showAll="0"/>
    <pivotField showAll="0"/>
    <pivotField showAll="0"/>
    <pivotField axis="axisRow" showAll="0">
      <items count="6">
        <item x="4"/>
        <item x="2"/>
        <item x="0"/>
        <item x="3"/>
        <item x="1"/>
        <item t="default"/>
      </items>
    </pivotField>
    <pivotField showAll="0"/>
    <pivotField showAll="0"/>
  </pivotFields>
  <rowFields count="1">
    <field x="12"/>
  </rowFields>
  <rowItems count="6">
    <i>
      <x/>
    </i>
    <i>
      <x v="1"/>
    </i>
    <i>
      <x v="2"/>
    </i>
    <i>
      <x v="3"/>
    </i>
    <i>
      <x v="4"/>
    </i>
    <i t="grand">
      <x/>
    </i>
  </rowItems>
  <colItems count="1">
    <i/>
  </colItems>
  <dataFields count="1">
    <dataField name="Count of Employee ID"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2" count="1" selected="0">
            <x v="0"/>
          </reference>
        </references>
      </pivotArea>
    </chartFormat>
    <chartFormat chart="3" format="9">
      <pivotArea type="data" outline="0" fieldPosition="0">
        <references count="2">
          <reference field="4294967294" count="1" selected="0">
            <x v="0"/>
          </reference>
          <reference field="12" count="1" selected="0">
            <x v="1"/>
          </reference>
        </references>
      </pivotArea>
    </chartFormat>
    <chartFormat chart="3" format="10">
      <pivotArea type="data" outline="0" fieldPosition="0">
        <references count="2">
          <reference field="4294967294" count="1" selected="0">
            <x v="0"/>
          </reference>
          <reference field="12" count="1" selected="0">
            <x v="2"/>
          </reference>
        </references>
      </pivotArea>
    </chartFormat>
    <chartFormat chart="3" format="11">
      <pivotArea type="data" outline="0" fieldPosition="0">
        <references count="2">
          <reference field="4294967294" count="1" selected="0">
            <x v="0"/>
          </reference>
          <reference field="12" count="1" selected="0">
            <x v="3"/>
          </reference>
        </references>
      </pivotArea>
    </chartFormat>
    <chartFormat chart="3"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631383-3D5B-4864-BF3C-AA88559769F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15">
    <pivotField showAll="0" countASubtotal="1"/>
    <pivotField showAll="0"/>
    <pivotField showAll="0"/>
    <pivotField showAll="0"/>
    <pivotField showAll="0"/>
    <pivotField showAll="0"/>
    <pivotField showAll="0">
      <items count="11">
        <item x="1"/>
        <item x="4"/>
        <item x="6"/>
        <item x="2"/>
        <item x="0"/>
        <item m="1" x="9"/>
        <item x="3"/>
        <item x="7"/>
        <item x="5"/>
        <item x="8"/>
        <item t="default"/>
      </items>
    </pivotField>
    <pivotField numFmtId="164" showAll="0"/>
    <pivotField showAll="0"/>
    <pivotField showAll="0"/>
    <pivotField showAll="0"/>
    <pivotField showAll="0"/>
    <pivotField dataField="1" showAll="0"/>
    <pivotField showAll="0"/>
    <pivotField showAll="0"/>
  </pivotFields>
  <rowItems count="1">
    <i/>
  </rowItems>
  <colItems count="1">
    <i/>
  </colItems>
  <dataFields count="1">
    <dataField name="Average of Performance Rating" fld="12" subtotal="average" baseField="0" baseItem="0" numFmtId="2"/>
  </dataFields>
  <formats count="3">
    <format dxfId="475">
      <pivotArea type="all" dataOnly="0" outline="0" fieldPosition="0"/>
    </format>
    <format dxfId="474">
      <pivotArea outline="0" collapsedLevelsAreSubtotals="1" fieldPosition="0"/>
    </format>
    <format dxfId="4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200170-8E71-493F-ABB5-6381DC4674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13" firstHeaderRow="1" firstDataRow="1" firstDataCol="1"/>
  <pivotFields count="15">
    <pivotField dataField="1" showAll="0" countASubtotal="1"/>
    <pivotField showAll="0"/>
    <pivotField showAll="0"/>
    <pivotField showAll="0"/>
    <pivotField showAll="0"/>
    <pivotField showAll="0"/>
    <pivotField axis="axisRow" showAll="0">
      <items count="11">
        <item x="1"/>
        <item x="4"/>
        <item x="6"/>
        <item x="2"/>
        <item x="0"/>
        <item m="1" x="9"/>
        <item x="3"/>
        <item x="7"/>
        <item x="5"/>
        <item x="8"/>
        <item t="default"/>
      </items>
    </pivotField>
    <pivotField numFmtId="164" showAll="0"/>
    <pivotField showAll="0"/>
    <pivotField showAll="0"/>
    <pivotField showAll="0"/>
    <pivotField showAll="0"/>
    <pivotField showAll="0"/>
    <pivotField showAll="0"/>
    <pivotField showAll="0"/>
  </pivotFields>
  <rowFields count="1">
    <field x="6"/>
  </rowFields>
  <rowItems count="10">
    <i>
      <x/>
    </i>
    <i>
      <x v="1"/>
    </i>
    <i>
      <x v="2"/>
    </i>
    <i>
      <x v="3"/>
    </i>
    <i>
      <x v="4"/>
    </i>
    <i>
      <x v="6"/>
    </i>
    <i>
      <x v="7"/>
    </i>
    <i>
      <x v="8"/>
    </i>
    <i>
      <x v="9"/>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F72FEF-8EB7-44D9-A367-18C3C25569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D15" firstHeaderRow="1" firstDataRow="1" firstDataCol="1"/>
  <pivotFields count="15">
    <pivotField dataField="1" showAll="0" countASubtotal="1"/>
    <pivotField showAll="0"/>
    <pivotField showAll="0"/>
    <pivotField showAll="0"/>
    <pivotField showAll="0"/>
    <pivotField axis="axisRow" showAll="0" sortType="ascending">
      <items count="12">
        <item x="2"/>
        <item x="1"/>
        <item x="7"/>
        <item x="8"/>
        <item x="6"/>
        <item x="10"/>
        <item x="5"/>
        <item x="4"/>
        <item x="0"/>
        <item x="3"/>
        <item x="9"/>
        <item t="default"/>
      </items>
    </pivotField>
    <pivotField showAll="0">
      <items count="11">
        <item x="1"/>
        <item x="4"/>
        <item x="6"/>
        <item x="2"/>
        <item x="0"/>
        <item m="1" x="9"/>
        <item x="3"/>
        <item x="7"/>
        <item x="5"/>
        <item x="8"/>
        <item t="default"/>
      </items>
    </pivotField>
    <pivotField numFmtId="164" showAll="0"/>
    <pivotField showAll="0"/>
    <pivotField showAll="0"/>
    <pivotField showAll="0"/>
    <pivotField showAll="0"/>
    <pivotField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Count of Employee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B5CE6EC-0FDD-4F96-9D62-576C067550AB}" autoFormatId="16" applyNumberFormats="0" applyBorderFormats="0" applyFontFormats="0" applyPatternFormats="0" applyAlignmentFormats="0" applyWidthHeightFormats="0">
  <queryTableRefresh nextId="16">
    <queryTableFields count="15">
      <queryTableField id="1" name="Employee ID" tableColumnId="1"/>
      <queryTableField id="2" name="First Name" tableColumnId="2"/>
      <queryTableField id="3" name="Last Name" tableColumnId="3"/>
      <queryTableField id="4" name="Gender" tableColumnId="4"/>
      <queryTableField id="5" name="Age" tableColumnId="5"/>
      <queryTableField id="6" name="Department" tableColumnId="6"/>
      <queryTableField id="7" name="Job Title" tableColumnId="7"/>
      <queryTableField id="8" name="Salary" tableColumnId="8"/>
      <queryTableField id="9" name="Hire Date" tableColumnId="9"/>
      <queryTableField id="10" name="Company Tenure" tableColumnId="10"/>
      <queryTableField id="11" name="Email" tableColumnId="11"/>
      <queryTableField id="12" name="City" tableColumnId="12"/>
      <queryTableField id="13" name="Performance Rating" tableColumnId="13"/>
      <queryTableField id="14" name="Age Group" tableColumnId="14"/>
      <queryTableField id="15" name="Salary Rang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FEEE5F3D-C313-4FB9-B177-97B19BB8DD3A}" sourceName="Job Titl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1438915280">
      <items count="10">
        <i x="1" s="1"/>
        <i x="4" s="1"/>
        <i x="6" s="1"/>
        <i x="2" s="1"/>
        <i x="0" s="1"/>
        <i x="3" s="1"/>
        <i x="7" s="1"/>
        <i x="5" s="1"/>
        <i x="8" s="1"/>
        <i x="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8AE7A9F1-1572-4135-988B-6D07435D0EC4}" cache="Slicer_Job_Title" caption="Job Title" columnCount="3"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AB1AB4-F8AA-4D34-8A9C-E95B50846701}" name="Table1_1" displayName="Table1_1" ref="A1:O500" tableType="queryTable" totalsRowShown="0">
  <autoFilter ref="A1:O500" xr:uid="{05AB1AB4-F8AA-4D34-8A9C-E95B50846701}"/>
  <tableColumns count="15">
    <tableColumn id="1" xr3:uid="{199CB1E2-2656-438B-952D-9925658C202B}" uniqueName="1" name="Employee ID" queryTableFieldId="1" dataDxfId="490"/>
    <tableColumn id="2" xr3:uid="{6C4DC23A-7932-4907-AD94-CE652B0101A9}" uniqueName="2" name="First Name" queryTableFieldId="2" dataDxfId="489"/>
    <tableColumn id="3" xr3:uid="{319FFAD8-5A3A-4BD8-BAE5-9746921D230E}" uniqueName="3" name="Last Name" queryTableFieldId="3" dataDxfId="488"/>
    <tableColumn id="4" xr3:uid="{F53A98F9-82BB-49EC-889D-B2C1D9ACF97F}" uniqueName="4" name="Gender" queryTableFieldId="4" dataDxfId="487"/>
    <tableColumn id="5" xr3:uid="{1668066D-B416-4531-9F58-BB52F790DC5F}" uniqueName="5" name="Age" queryTableFieldId="5"/>
    <tableColumn id="6" xr3:uid="{CF283F16-B244-4541-8FD4-EDAB32A5C236}" uniqueName="6" name="Department" queryTableFieldId="6" dataDxfId="486"/>
    <tableColumn id="7" xr3:uid="{12D96E5E-7F5A-48C7-B7B0-000AC71B670C}" uniqueName="7" name="Job Title" queryTableFieldId="7" dataDxfId="485"/>
    <tableColumn id="8" xr3:uid="{76171B65-C2CA-410E-9955-79F08D274378}" uniqueName="8" name="Salary" queryTableFieldId="8"/>
    <tableColumn id="9" xr3:uid="{907C5599-CB50-4F8D-9E4B-FFB80460BF06}" uniqueName="9" name="Hire Date" queryTableFieldId="9" dataDxfId="484"/>
    <tableColumn id="10" xr3:uid="{E11D72EE-6D8F-4583-9E09-D1E7AEDFDD70}" uniqueName="10" name="Company Tenure" queryTableFieldId="10"/>
    <tableColumn id="11" xr3:uid="{C7DC1285-C989-48F7-8228-DC4ACCD9E695}" uniqueName="11" name="Email" queryTableFieldId="11" dataDxfId="483"/>
    <tableColumn id="12" xr3:uid="{8C7C3771-05A9-4C9F-97DD-4B1CB683938A}" uniqueName="12" name="City" queryTableFieldId="12" dataDxfId="482"/>
    <tableColumn id="13" xr3:uid="{B42F9745-5B21-46EA-8520-83363FA044D8}" uniqueName="13" name="Performance Rating" queryTableFieldId="13"/>
    <tableColumn id="14" xr3:uid="{24E962C2-46A6-498F-803E-A9F3ADB98086}" uniqueName="14" name="Age Group" queryTableFieldId="14" dataDxfId="481"/>
    <tableColumn id="15" xr3:uid="{79BEC980-ADBA-47AB-96C5-2C7A9BF59725}" uniqueName="15" name="Salary Range"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DFB317-1C5A-4973-B4C7-82A91D48347A}" name="Table1" displayName="Table1" ref="A1:P500" totalsRowShown="0">
  <autoFilter ref="A1:P500" xr:uid="{BF74D377-8C38-4C5B-A449-382FB4700053}"/>
  <tableColumns count="16">
    <tableColumn id="1" xr3:uid="{908186A5-A810-41C4-891A-48943C0BFB60}" name="Employee ID"/>
    <tableColumn id="2" xr3:uid="{983E371D-1D97-45E5-920A-05F5E7C35CB6}" name="First Name"/>
    <tableColumn id="3" xr3:uid="{97D1E060-E7D4-4939-8EE9-A25EEBFA57D0}" name="Last Name"/>
    <tableColumn id="4" xr3:uid="{3F42A093-6F4A-44AF-884E-E08D4AA3D311}" name="Gender"/>
    <tableColumn id="5" xr3:uid="{AEDC708A-5735-4A67-90A4-6D7A58FECCCC}" name="Age"/>
    <tableColumn id="6" xr3:uid="{885B7698-5E18-40D9-916D-5FE39977E2BA}" name="Department"/>
    <tableColumn id="7" xr3:uid="{4F0D14CA-A2B5-43ED-9235-E54FF66EA8F6}" name="Job Title"/>
    <tableColumn id="8" xr3:uid="{BE94262F-AB5C-4D52-9851-6DB7932DEE90}" name="Salary" dataDxfId="480" dataCellStyle="Comma"/>
    <tableColumn id="9" xr3:uid="{28ACA121-F585-41EF-B784-DEA413080A25}" name="Hire Date" dataDxfId="479"/>
    <tableColumn id="10" xr3:uid="{D72FB6F9-FD04-4CDB-B0CE-BD61E0AEF1E3}" name="Company Tenure" dataDxfId="478"/>
    <tableColumn id="11" xr3:uid="{6DB608F0-17F2-4D2C-B430-04E0B6D1D9A7}" name="Email"/>
    <tableColumn id="12" xr3:uid="{63141656-9C6E-44EF-8DD2-894580D1C257}" name="City"/>
    <tableColumn id="13" xr3:uid="{C4997606-0362-42D5-B0D2-2362199A4DD1}" name="Performance Rating"/>
    <tableColumn id="14" xr3:uid="{2BD8282B-C66C-46B7-A84E-53344A6F8354}" name="Age Group" dataDxfId="477">
      <calculatedColumnFormula array="1">_xlfn.IFS(AND(24&lt;=Table1[[#This Row],[Age]],Table1[[#This Row],[Age]]&lt;=30),"24-30",Table1[[#This Row],[Age]]&lt;=35,"31-35",Table1[[#This Row],[Age]]&lt;=40,"36-40",Table1[[#This Row],[Age]]&lt;=45,"41-45",Table1[[#This Row],[Age]]&lt;=50,"46-50",Table1[[#This Row],[Age]]&lt;=55,"51-55",Table1[[#This Row],[Age]]&lt;=60,"56-60",Table1[[#This Row],[Age]]&lt;=66,"61-66")</calculatedColumnFormula>
    </tableColumn>
    <tableColumn id="15" xr3:uid="{427E9234-23A6-463E-A646-7832CDF5935C}" name="Salary Range"/>
    <tableColumn id="16" xr3:uid="{0B004DE7-5820-492F-99EC-C35D98F3470F}" name="Tenure Range" dataDxfId="476">
      <calculatedColumnFormula array="1">_xlfn.IFS(Table1[[#This Row],[Company Tenure]]&lt;=5,"1-5",Table1[[#This Row],[Company Tenure]]&lt;=10,"6-10",Table1[[#This Row],[Company Tenure]]&lt;=15,"11-15",Table1[[#This Row],[Company Tenure]]&lt;=20, "15-20",Table1[[#This Row],[Company Tenure]]&gt;20,"Above 20")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8201-B1EE-42E3-8A90-16446E1DD2DF}">
  <dimension ref="A1:O500"/>
  <sheetViews>
    <sheetView topLeftCell="G486" workbookViewId="0">
      <selection activeCell="O1" sqref="O1:O500"/>
    </sheetView>
  </sheetViews>
  <sheetFormatPr defaultRowHeight="15" x14ac:dyDescent="0.25"/>
  <cols>
    <col min="1" max="1" width="14.42578125" bestFit="1" customWidth="1"/>
    <col min="2" max="2" width="12.85546875" bestFit="1" customWidth="1"/>
    <col min="3" max="3" width="12.42578125" bestFit="1" customWidth="1"/>
    <col min="4" max="4" width="11" bestFit="1" customWidth="1"/>
    <col min="5" max="5" width="6.7109375" bestFit="1" customWidth="1"/>
    <col min="6" max="6" width="23.85546875" bestFit="1" customWidth="1"/>
    <col min="7" max="7" width="15" bestFit="1" customWidth="1"/>
    <col min="8" max="8" width="10" bestFit="1" customWidth="1"/>
    <col min="9" max="9" width="15.5703125" bestFit="1" customWidth="1"/>
    <col min="10" max="10" width="18.42578125" bestFit="1" customWidth="1"/>
    <col min="11" max="11" width="39.42578125" bestFit="1" customWidth="1"/>
    <col min="12" max="12" width="12" bestFit="1" customWidth="1"/>
    <col min="13" max="13" width="21" bestFit="1" customWidth="1"/>
    <col min="14" max="14" width="12.7109375" bestFit="1" customWidth="1"/>
    <col min="15" max="15" width="14.42578125" bestFit="1" customWidth="1"/>
  </cols>
  <sheetData>
    <row r="1" spans="1:15" x14ac:dyDescent="0.25">
      <c r="A1" t="s">
        <v>1047</v>
      </c>
      <c r="B1" t="s">
        <v>1048</v>
      </c>
      <c r="C1" t="s">
        <v>1049</v>
      </c>
      <c r="D1" t="s">
        <v>1050</v>
      </c>
      <c r="E1" t="s">
        <v>1051</v>
      </c>
      <c r="F1" t="s">
        <v>1052</v>
      </c>
      <c r="G1" t="s">
        <v>1053</v>
      </c>
      <c r="H1" t="s">
        <v>1054</v>
      </c>
      <c r="I1" t="s">
        <v>1055</v>
      </c>
      <c r="J1" t="s">
        <v>1067</v>
      </c>
      <c r="K1" t="s">
        <v>1056</v>
      </c>
      <c r="L1" t="s">
        <v>1057</v>
      </c>
      <c r="M1" t="s">
        <v>1058</v>
      </c>
      <c r="N1" t="s">
        <v>1072</v>
      </c>
      <c r="O1" t="s">
        <v>1073</v>
      </c>
    </row>
    <row r="2" spans="1:15" x14ac:dyDescent="0.25">
      <c r="A2" t="s">
        <v>0</v>
      </c>
      <c r="B2" t="s">
        <v>374</v>
      </c>
      <c r="C2" t="s">
        <v>91</v>
      </c>
      <c r="D2" t="s">
        <v>1</v>
      </c>
      <c r="E2">
        <v>56</v>
      </c>
      <c r="F2" t="s">
        <v>36</v>
      </c>
      <c r="G2" t="s">
        <v>2</v>
      </c>
      <c r="H2">
        <v>123185</v>
      </c>
      <c r="I2" s="6">
        <v>39151</v>
      </c>
      <c r="J2">
        <v>19</v>
      </c>
      <c r="K2" t="s">
        <v>3</v>
      </c>
      <c r="L2" t="s">
        <v>4</v>
      </c>
      <c r="M2">
        <v>3</v>
      </c>
      <c r="N2" t="s">
        <v>1065</v>
      </c>
      <c r="O2" t="s">
        <v>1074</v>
      </c>
    </row>
    <row r="3" spans="1:15" x14ac:dyDescent="0.25">
      <c r="A3" t="s">
        <v>5</v>
      </c>
      <c r="B3" t="s">
        <v>6</v>
      </c>
      <c r="C3" t="s">
        <v>7</v>
      </c>
      <c r="D3" t="s">
        <v>8</v>
      </c>
      <c r="E3">
        <v>28</v>
      </c>
      <c r="F3" t="s">
        <v>9</v>
      </c>
      <c r="G3" t="s">
        <v>2</v>
      </c>
      <c r="H3">
        <v>119403</v>
      </c>
      <c r="I3" s="6">
        <v>44390</v>
      </c>
      <c r="J3">
        <v>5</v>
      </c>
      <c r="K3" t="s">
        <v>10</v>
      </c>
      <c r="L3" t="s">
        <v>11</v>
      </c>
      <c r="M3">
        <v>5</v>
      </c>
      <c r="N3" t="s">
        <v>1075</v>
      </c>
      <c r="O3" t="s">
        <v>1074</v>
      </c>
    </row>
    <row r="4" spans="1:15" x14ac:dyDescent="0.25">
      <c r="A4" t="s">
        <v>12</v>
      </c>
      <c r="B4" t="s">
        <v>268</v>
      </c>
      <c r="C4" t="s">
        <v>138</v>
      </c>
      <c r="D4" t="s">
        <v>8</v>
      </c>
      <c r="E4">
        <v>48</v>
      </c>
      <c r="F4" t="s">
        <v>154</v>
      </c>
      <c r="G4" t="s">
        <v>17</v>
      </c>
      <c r="H4">
        <v>41791.5</v>
      </c>
      <c r="I4" s="6">
        <v>39265</v>
      </c>
      <c r="J4">
        <v>19</v>
      </c>
      <c r="K4" t="s">
        <v>13</v>
      </c>
      <c r="L4" t="s">
        <v>14</v>
      </c>
      <c r="M4">
        <v>5</v>
      </c>
      <c r="N4" t="s">
        <v>1063</v>
      </c>
      <c r="O4" t="s">
        <v>1076</v>
      </c>
    </row>
    <row r="5" spans="1:15" x14ac:dyDescent="0.25">
      <c r="A5" t="s">
        <v>15</v>
      </c>
      <c r="B5" t="s">
        <v>16</v>
      </c>
      <c r="C5" t="s">
        <v>16</v>
      </c>
      <c r="D5" t="s">
        <v>1</v>
      </c>
      <c r="E5">
        <v>36</v>
      </c>
      <c r="F5" t="s">
        <v>133</v>
      </c>
      <c r="G5" t="s">
        <v>17</v>
      </c>
      <c r="H5">
        <v>55953.55</v>
      </c>
      <c r="I5" s="6">
        <v>42047</v>
      </c>
      <c r="J5">
        <v>11</v>
      </c>
      <c r="K5" t="s">
        <v>18</v>
      </c>
      <c r="L5" t="s">
        <v>19</v>
      </c>
      <c r="M5">
        <v>3</v>
      </c>
      <c r="N5" t="s">
        <v>1061</v>
      </c>
      <c r="O5" t="s">
        <v>1077</v>
      </c>
    </row>
    <row r="6" spans="1:15" x14ac:dyDescent="0.25">
      <c r="A6" t="s">
        <v>20</v>
      </c>
      <c r="B6" t="s">
        <v>21</v>
      </c>
      <c r="C6" t="s">
        <v>22</v>
      </c>
      <c r="D6" t="s">
        <v>23</v>
      </c>
      <c r="E6">
        <v>43</v>
      </c>
      <c r="F6" t="s">
        <v>203</v>
      </c>
      <c r="G6" t="s">
        <v>17</v>
      </c>
      <c r="H6">
        <v>59738</v>
      </c>
      <c r="I6" s="6">
        <v>40160</v>
      </c>
      <c r="J6">
        <v>16</v>
      </c>
      <c r="K6" t="s">
        <v>24</v>
      </c>
      <c r="L6" t="s">
        <v>25</v>
      </c>
      <c r="M6">
        <v>2</v>
      </c>
      <c r="N6" t="s">
        <v>1062</v>
      </c>
      <c r="O6" t="s">
        <v>1077</v>
      </c>
    </row>
    <row r="7" spans="1:15" x14ac:dyDescent="0.25">
      <c r="A7" t="s">
        <v>26</v>
      </c>
      <c r="B7" t="s">
        <v>132</v>
      </c>
      <c r="C7" t="s">
        <v>589</v>
      </c>
      <c r="D7" t="s">
        <v>1</v>
      </c>
      <c r="E7">
        <v>44</v>
      </c>
      <c r="F7" t="s">
        <v>142</v>
      </c>
      <c r="G7" t="s">
        <v>17</v>
      </c>
      <c r="H7">
        <v>60058.66</v>
      </c>
      <c r="I7" s="6">
        <v>43976</v>
      </c>
      <c r="J7">
        <v>6</v>
      </c>
      <c r="K7" t="s">
        <v>27</v>
      </c>
      <c r="L7" t="s">
        <v>28</v>
      </c>
      <c r="M7">
        <v>3</v>
      </c>
      <c r="N7" t="s">
        <v>1062</v>
      </c>
      <c r="O7" t="s">
        <v>1077</v>
      </c>
    </row>
    <row r="8" spans="1:15" x14ac:dyDescent="0.25">
      <c r="A8" t="s">
        <v>29</v>
      </c>
      <c r="B8" t="s">
        <v>30</v>
      </c>
      <c r="C8" t="s">
        <v>31</v>
      </c>
      <c r="D8" t="s">
        <v>1</v>
      </c>
      <c r="E8">
        <v>42</v>
      </c>
      <c r="F8" t="s">
        <v>32</v>
      </c>
      <c r="G8" t="s">
        <v>161</v>
      </c>
      <c r="H8">
        <v>148727</v>
      </c>
      <c r="I8" s="6">
        <v>40411</v>
      </c>
      <c r="J8">
        <v>16</v>
      </c>
      <c r="K8" t="s">
        <v>33</v>
      </c>
      <c r="L8" t="s">
        <v>19</v>
      </c>
      <c r="M8">
        <v>4</v>
      </c>
      <c r="N8" t="s">
        <v>1062</v>
      </c>
      <c r="O8" t="s">
        <v>1074</v>
      </c>
    </row>
    <row r="9" spans="1:15" x14ac:dyDescent="0.25">
      <c r="A9" t="s">
        <v>34</v>
      </c>
      <c r="B9" t="s">
        <v>132</v>
      </c>
      <c r="C9" t="s">
        <v>35</v>
      </c>
      <c r="D9" t="s">
        <v>23</v>
      </c>
      <c r="E9">
        <v>50</v>
      </c>
      <c r="F9" t="s">
        <v>36</v>
      </c>
      <c r="G9" t="s">
        <v>37</v>
      </c>
      <c r="H9">
        <v>102926</v>
      </c>
      <c r="I9" s="6">
        <v>41223</v>
      </c>
      <c r="J9">
        <v>13</v>
      </c>
      <c r="K9" t="s">
        <v>38</v>
      </c>
      <c r="L9" t="s">
        <v>39</v>
      </c>
      <c r="M9">
        <v>4</v>
      </c>
      <c r="N9" t="s">
        <v>1063</v>
      </c>
      <c r="O9" t="s">
        <v>1074</v>
      </c>
    </row>
    <row r="10" spans="1:15" x14ac:dyDescent="0.25">
      <c r="A10" t="s">
        <v>40</v>
      </c>
      <c r="B10" t="s">
        <v>43</v>
      </c>
      <c r="C10" t="s">
        <v>485</v>
      </c>
      <c r="D10" t="s">
        <v>1</v>
      </c>
      <c r="E10">
        <v>45</v>
      </c>
      <c r="F10" t="s">
        <v>295</v>
      </c>
      <c r="G10" t="s">
        <v>17</v>
      </c>
      <c r="H10">
        <v>70674.58</v>
      </c>
      <c r="I10" s="6">
        <v>42007</v>
      </c>
      <c r="J10">
        <v>11</v>
      </c>
      <c r="K10" t="s">
        <v>41</v>
      </c>
      <c r="L10" t="s">
        <v>25</v>
      </c>
      <c r="M10">
        <v>4</v>
      </c>
      <c r="N10" t="s">
        <v>1062</v>
      </c>
      <c r="O10" t="s">
        <v>1077</v>
      </c>
    </row>
    <row r="11" spans="1:15" x14ac:dyDescent="0.25">
      <c r="A11" t="s">
        <v>42</v>
      </c>
      <c r="B11" t="s">
        <v>43</v>
      </c>
      <c r="C11" t="s">
        <v>22</v>
      </c>
      <c r="D11" t="s">
        <v>23</v>
      </c>
      <c r="E11">
        <v>42</v>
      </c>
      <c r="F11" t="s">
        <v>181</v>
      </c>
      <c r="G11" t="s">
        <v>44</v>
      </c>
      <c r="H11">
        <v>50030.33</v>
      </c>
      <c r="I11" s="6">
        <v>39057</v>
      </c>
      <c r="J11">
        <v>19</v>
      </c>
      <c r="K11" t="s">
        <v>45</v>
      </c>
      <c r="L11" t="s">
        <v>28</v>
      </c>
      <c r="M11">
        <v>4</v>
      </c>
      <c r="N11" t="s">
        <v>1062</v>
      </c>
      <c r="O11" t="s">
        <v>1077</v>
      </c>
    </row>
    <row r="12" spans="1:15" x14ac:dyDescent="0.25">
      <c r="A12" t="s">
        <v>46</v>
      </c>
      <c r="B12" t="s">
        <v>47</v>
      </c>
      <c r="C12" t="s">
        <v>16</v>
      </c>
      <c r="D12" t="s">
        <v>23</v>
      </c>
      <c r="E12">
        <v>36</v>
      </c>
      <c r="F12" t="s">
        <v>1066</v>
      </c>
      <c r="G12" t="s">
        <v>63</v>
      </c>
      <c r="H12">
        <v>94159</v>
      </c>
      <c r="I12" s="6">
        <v>43460</v>
      </c>
      <c r="J12">
        <v>7</v>
      </c>
      <c r="K12" t="s">
        <v>48</v>
      </c>
      <c r="L12" t="s">
        <v>49</v>
      </c>
      <c r="M12">
        <v>3</v>
      </c>
      <c r="N12" t="s">
        <v>1061</v>
      </c>
      <c r="O12" t="s">
        <v>1077</v>
      </c>
    </row>
    <row r="13" spans="1:15" x14ac:dyDescent="0.25">
      <c r="A13" t="s">
        <v>50</v>
      </c>
      <c r="B13" t="s">
        <v>87</v>
      </c>
      <c r="C13" t="s">
        <v>351</v>
      </c>
      <c r="D13" t="s">
        <v>1</v>
      </c>
      <c r="E13">
        <v>27</v>
      </c>
      <c r="F13" t="s">
        <v>295</v>
      </c>
      <c r="G13" t="s">
        <v>44</v>
      </c>
      <c r="H13">
        <v>65732</v>
      </c>
      <c r="I13" s="6"/>
      <c r="K13" t="s">
        <v>51</v>
      </c>
      <c r="L13" t="s">
        <v>49</v>
      </c>
      <c r="M13">
        <v>3</v>
      </c>
      <c r="N13" t="s">
        <v>1075</v>
      </c>
      <c r="O13" t="s">
        <v>1077</v>
      </c>
    </row>
    <row r="14" spans="1:15" x14ac:dyDescent="0.25">
      <c r="A14" t="s">
        <v>52</v>
      </c>
      <c r="B14" t="s">
        <v>316</v>
      </c>
      <c r="C14" t="s">
        <v>351</v>
      </c>
      <c r="D14" t="s">
        <v>8</v>
      </c>
      <c r="E14">
        <v>40</v>
      </c>
      <c r="F14" t="s">
        <v>154</v>
      </c>
      <c r="G14" t="s">
        <v>63</v>
      </c>
      <c r="H14">
        <v>48744</v>
      </c>
      <c r="I14" s="6">
        <v>44473</v>
      </c>
      <c r="J14">
        <v>5</v>
      </c>
      <c r="K14" t="s">
        <v>53</v>
      </c>
      <c r="L14" t="s">
        <v>54</v>
      </c>
      <c r="M14">
        <v>5</v>
      </c>
      <c r="N14" t="s">
        <v>1061</v>
      </c>
      <c r="O14" t="s">
        <v>1076</v>
      </c>
    </row>
    <row r="15" spans="1:15" x14ac:dyDescent="0.25">
      <c r="A15" t="s">
        <v>55</v>
      </c>
      <c r="B15" t="s">
        <v>56</v>
      </c>
      <c r="C15" t="s">
        <v>589</v>
      </c>
      <c r="D15" t="s">
        <v>1</v>
      </c>
      <c r="E15">
        <v>38</v>
      </c>
      <c r="F15" t="s">
        <v>133</v>
      </c>
      <c r="G15" t="s">
        <v>2</v>
      </c>
      <c r="H15">
        <v>83027</v>
      </c>
      <c r="I15" s="6">
        <v>45420</v>
      </c>
      <c r="J15">
        <v>2</v>
      </c>
      <c r="K15" t="s">
        <v>57</v>
      </c>
      <c r="L15" t="s">
        <v>14</v>
      </c>
      <c r="M15">
        <v>3</v>
      </c>
      <c r="N15" t="s">
        <v>1061</v>
      </c>
      <c r="O15" t="s">
        <v>1077</v>
      </c>
    </row>
    <row r="16" spans="1:15" x14ac:dyDescent="0.25">
      <c r="A16" t="s">
        <v>58</v>
      </c>
      <c r="B16" t="s">
        <v>16</v>
      </c>
      <c r="C16" t="s">
        <v>59</v>
      </c>
      <c r="D16" t="s">
        <v>1</v>
      </c>
      <c r="E16">
        <v>51</v>
      </c>
      <c r="F16" t="s">
        <v>36</v>
      </c>
      <c r="G16" t="s">
        <v>37</v>
      </c>
      <c r="H16">
        <v>121027</v>
      </c>
      <c r="I16" s="6">
        <v>40017</v>
      </c>
      <c r="J16">
        <v>17</v>
      </c>
      <c r="K16" t="s">
        <v>60</v>
      </c>
      <c r="L16" t="s">
        <v>28</v>
      </c>
      <c r="M16">
        <v>3</v>
      </c>
      <c r="N16" t="s">
        <v>1064</v>
      </c>
      <c r="O16" t="s">
        <v>1074</v>
      </c>
    </row>
    <row r="17" spans="1:15" x14ac:dyDescent="0.25">
      <c r="A17" t="s">
        <v>61</v>
      </c>
      <c r="B17" t="s">
        <v>62</v>
      </c>
      <c r="C17" t="s">
        <v>452</v>
      </c>
      <c r="D17" t="s">
        <v>8</v>
      </c>
      <c r="E17">
        <v>31</v>
      </c>
      <c r="F17" t="s">
        <v>313</v>
      </c>
      <c r="G17" t="s">
        <v>63</v>
      </c>
      <c r="H17">
        <v>106159.86</v>
      </c>
      <c r="I17" s="6"/>
      <c r="K17" t="s">
        <v>64</v>
      </c>
      <c r="L17" t="s">
        <v>65</v>
      </c>
      <c r="M17">
        <v>1</v>
      </c>
      <c r="N17" t="s">
        <v>1060</v>
      </c>
      <c r="O17" t="s">
        <v>1074</v>
      </c>
    </row>
    <row r="18" spans="1:15" x14ac:dyDescent="0.25">
      <c r="A18" t="s">
        <v>66</v>
      </c>
      <c r="B18" t="s">
        <v>67</v>
      </c>
      <c r="C18" t="s">
        <v>68</v>
      </c>
      <c r="D18" t="s">
        <v>23</v>
      </c>
      <c r="E18">
        <v>43</v>
      </c>
      <c r="F18" t="s">
        <v>133</v>
      </c>
      <c r="G18" t="s">
        <v>17</v>
      </c>
      <c r="H18">
        <v>56299</v>
      </c>
      <c r="I18" s="6">
        <v>41014</v>
      </c>
      <c r="J18">
        <v>14</v>
      </c>
      <c r="K18" t="s">
        <v>69</v>
      </c>
      <c r="L18" t="s">
        <v>11</v>
      </c>
      <c r="M18">
        <v>5</v>
      </c>
      <c r="N18" t="s">
        <v>1062</v>
      </c>
      <c r="O18" t="s">
        <v>1077</v>
      </c>
    </row>
    <row r="19" spans="1:15" x14ac:dyDescent="0.25">
      <c r="A19" t="s">
        <v>70</v>
      </c>
      <c r="B19" t="s">
        <v>316</v>
      </c>
      <c r="C19" t="s">
        <v>485</v>
      </c>
      <c r="D19" t="s">
        <v>1</v>
      </c>
      <c r="E19">
        <v>24</v>
      </c>
      <c r="F19" t="s">
        <v>295</v>
      </c>
      <c r="G19" t="s">
        <v>2</v>
      </c>
      <c r="H19">
        <v>83393</v>
      </c>
      <c r="I19" s="6">
        <v>45321</v>
      </c>
      <c r="J19">
        <v>2</v>
      </c>
      <c r="K19" t="s">
        <v>71</v>
      </c>
      <c r="L19" t="s">
        <v>28</v>
      </c>
      <c r="M19">
        <v>3</v>
      </c>
      <c r="N19" t="s">
        <v>1075</v>
      </c>
      <c r="O19" t="s">
        <v>1077</v>
      </c>
    </row>
    <row r="20" spans="1:15" x14ac:dyDescent="0.25">
      <c r="A20" t="s">
        <v>72</v>
      </c>
      <c r="B20" t="s">
        <v>73</v>
      </c>
      <c r="C20" t="s">
        <v>485</v>
      </c>
      <c r="D20" t="s">
        <v>1</v>
      </c>
      <c r="E20">
        <v>33</v>
      </c>
      <c r="F20" t="s">
        <v>295</v>
      </c>
      <c r="G20" t="s">
        <v>63</v>
      </c>
      <c r="H20">
        <v>77770.5</v>
      </c>
      <c r="I20" s="6">
        <v>42209</v>
      </c>
      <c r="J20">
        <v>11</v>
      </c>
      <c r="K20" t="s">
        <v>74</v>
      </c>
      <c r="L20" t="s">
        <v>49</v>
      </c>
      <c r="M20">
        <v>4</v>
      </c>
      <c r="N20" t="s">
        <v>1060</v>
      </c>
      <c r="O20" t="s">
        <v>1077</v>
      </c>
    </row>
    <row r="21" spans="1:15" x14ac:dyDescent="0.25">
      <c r="A21" t="s">
        <v>75</v>
      </c>
      <c r="B21" t="s">
        <v>451</v>
      </c>
      <c r="C21" t="s">
        <v>76</v>
      </c>
      <c r="D21" t="s">
        <v>23</v>
      </c>
      <c r="E21">
        <v>42</v>
      </c>
      <c r="F21" t="s">
        <v>133</v>
      </c>
      <c r="G21" t="s">
        <v>37</v>
      </c>
      <c r="H21">
        <v>66972</v>
      </c>
      <c r="I21" s="6">
        <v>39127</v>
      </c>
      <c r="J21">
        <v>19</v>
      </c>
      <c r="K21" t="s">
        <v>77</v>
      </c>
      <c r="L21" t="s">
        <v>39</v>
      </c>
      <c r="M21">
        <v>4</v>
      </c>
      <c r="N21" t="s">
        <v>1062</v>
      </c>
      <c r="O21" t="s">
        <v>1077</v>
      </c>
    </row>
    <row r="22" spans="1:15" x14ac:dyDescent="0.25">
      <c r="A22" t="s">
        <v>78</v>
      </c>
      <c r="B22" t="s">
        <v>79</v>
      </c>
      <c r="C22" t="s">
        <v>80</v>
      </c>
      <c r="D22" t="s">
        <v>23</v>
      </c>
      <c r="E22">
        <v>47</v>
      </c>
      <c r="F22" t="s">
        <v>1066</v>
      </c>
      <c r="G22" t="s">
        <v>37</v>
      </c>
      <c r="H22">
        <v>56984</v>
      </c>
      <c r="I22" s="6">
        <v>42410</v>
      </c>
      <c r="J22">
        <v>10</v>
      </c>
      <c r="K22" t="s">
        <v>81</v>
      </c>
      <c r="L22" t="s">
        <v>19</v>
      </c>
      <c r="M22">
        <v>2</v>
      </c>
      <c r="N22" t="s">
        <v>1063</v>
      </c>
      <c r="O22" t="s">
        <v>1077</v>
      </c>
    </row>
    <row r="23" spans="1:15" x14ac:dyDescent="0.25">
      <c r="A23" t="s">
        <v>82</v>
      </c>
      <c r="B23" t="s">
        <v>6</v>
      </c>
      <c r="C23" t="s">
        <v>83</v>
      </c>
      <c r="D23" t="s">
        <v>8</v>
      </c>
      <c r="E23">
        <v>30</v>
      </c>
      <c r="F23" t="s">
        <v>313</v>
      </c>
      <c r="G23" t="s">
        <v>2</v>
      </c>
      <c r="H23">
        <v>139045</v>
      </c>
      <c r="I23" s="6"/>
      <c r="K23" t="s">
        <v>84</v>
      </c>
      <c r="L23" t="s">
        <v>85</v>
      </c>
      <c r="M23">
        <v>4</v>
      </c>
      <c r="N23" t="s">
        <v>1075</v>
      </c>
      <c r="O23" t="s">
        <v>1074</v>
      </c>
    </row>
    <row r="24" spans="1:15" x14ac:dyDescent="0.25">
      <c r="A24" t="s">
        <v>86</v>
      </c>
      <c r="B24" t="s">
        <v>87</v>
      </c>
      <c r="C24" t="s">
        <v>88</v>
      </c>
      <c r="D24" t="s">
        <v>1</v>
      </c>
      <c r="E24">
        <v>45</v>
      </c>
      <c r="F24" t="s">
        <v>32</v>
      </c>
      <c r="G24" t="s">
        <v>63</v>
      </c>
      <c r="H24">
        <v>76764</v>
      </c>
      <c r="I24" s="6">
        <v>41807</v>
      </c>
      <c r="J24">
        <v>12</v>
      </c>
      <c r="K24" t="s">
        <v>89</v>
      </c>
      <c r="L24" t="s">
        <v>65</v>
      </c>
      <c r="M24">
        <v>3</v>
      </c>
      <c r="N24" t="s">
        <v>1062</v>
      </c>
      <c r="O24" t="s">
        <v>1077</v>
      </c>
    </row>
    <row r="25" spans="1:15" x14ac:dyDescent="0.25">
      <c r="A25" t="s">
        <v>90</v>
      </c>
      <c r="B25" t="s">
        <v>56</v>
      </c>
      <c r="C25" t="s">
        <v>91</v>
      </c>
      <c r="D25" t="s">
        <v>1</v>
      </c>
      <c r="E25">
        <v>32</v>
      </c>
      <c r="F25" t="s">
        <v>1066</v>
      </c>
      <c r="G25" t="s">
        <v>17</v>
      </c>
      <c r="H25">
        <v>88558</v>
      </c>
      <c r="I25" s="6">
        <v>43191</v>
      </c>
      <c r="J25">
        <v>8</v>
      </c>
      <c r="K25" t="s">
        <v>92</v>
      </c>
      <c r="L25" t="s">
        <v>4</v>
      </c>
      <c r="M25">
        <v>3</v>
      </c>
      <c r="N25" t="s">
        <v>1060</v>
      </c>
      <c r="O25" t="s">
        <v>1077</v>
      </c>
    </row>
    <row r="26" spans="1:15" x14ac:dyDescent="0.25">
      <c r="A26" t="s">
        <v>93</v>
      </c>
      <c r="B26" t="s">
        <v>94</v>
      </c>
      <c r="C26" t="s">
        <v>124</v>
      </c>
      <c r="D26" t="s">
        <v>8</v>
      </c>
      <c r="E26">
        <v>36</v>
      </c>
      <c r="F26" t="s">
        <v>1066</v>
      </c>
      <c r="G26" t="s">
        <v>63</v>
      </c>
      <c r="H26">
        <v>56678</v>
      </c>
      <c r="I26" s="6">
        <v>43786</v>
      </c>
      <c r="J26">
        <v>6</v>
      </c>
      <c r="K26" t="s">
        <v>95</v>
      </c>
      <c r="L26" t="s">
        <v>39</v>
      </c>
      <c r="M26">
        <v>4</v>
      </c>
      <c r="N26" t="s">
        <v>1061</v>
      </c>
      <c r="O26" t="s">
        <v>1077</v>
      </c>
    </row>
    <row r="27" spans="1:15" x14ac:dyDescent="0.25">
      <c r="A27" t="s">
        <v>96</v>
      </c>
      <c r="B27" t="s">
        <v>469</v>
      </c>
      <c r="C27" t="s">
        <v>269</v>
      </c>
      <c r="D27" t="s">
        <v>1</v>
      </c>
      <c r="E27">
        <v>45</v>
      </c>
      <c r="F27" t="s">
        <v>142</v>
      </c>
      <c r="G27" t="s">
        <v>44</v>
      </c>
      <c r="H27">
        <v>52951.4</v>
      </c>
      <c r="I27" s="6">
        <v>41024</v>
      </c>
      <c r="J27">
        <v>14</v>
      </c>
      <c r="K27" t="s">
        <v>97</v>
      </c>
      <c r="L27" t="s">
        <v>85</v>
      </c>
      <c r="M27">
        <v>3</v>
      </c>
      <c r="N27" t="s">
        <v>1062</v>
      </c>
      <c r="O27" t="s">
        <v>1077</v>
      </c>
    </row>
    <row r="28" spans="1:15" x14ac:dyDescent="0.25">
      <c r="A28" t="s">
        <v>98</v>
      </c>
      <c r="B28" t="s">
        <v>99</v>
      </c>
      <c r="C28" t="s">
        <v>222</v>
      </c>
      <c r="D28" t="s">
        <v>8</v>
      </c>
      <c r="E28">
        <v>56</v>
      </c>
      <c r="F28" t="s">
        <v>133</v>
      </c>
      <c r="G28" t="s">
        <v>100</v>
      </c>
      <c r="H28">
        <v>52668</v>
      </c>
      <c r="I28" s="6">
        <v>45063</v>
      </c>
      <c r="J28">
        <v>3</v>
      </c>
      <c r="K28" t="s">
        <v>101</v>
      </c>
      <c r="L28" t="s">
        <v>25</v>
      </c>
      <c r="M28">
        <v>4</v>
      </c>
      <c r="N28" t="s">
        <v>1065</v>
      </c>
      <c r="O28" t="s">
        <v>1077</v>
      </c>
    </row>
    <row r="29" spans="1:15" x14ac:dyDescent="0.25">
      <c r="A29" t="s">
        <v>102</v>
      </c>
      <c r="B29" t="s">
        <v>103</v>
      </c>
      <c r="C29" t="s">
        <v>104</v>
      </c>
      <c r="D29" t="s">
        <v>23</v>
      </c>
      <c r="E29">
        <v>53</v>
      </c>
      <c r="F29" t="s">
        <v>154</v>
      </c>
      <c r="G29" t="s">
        <v>105</v>
      </c>
      <c r="H29">
        <v>70531</v>
      </c>
      <c r="I29" s="6"/>
      <c r="K29" t="s">
        <v>106</v>
      </c>
      <c r="L29" t="s">
        <v>107</v>
      </c>
      <c r="M29">
        <v>3</v>
      </c>
      <c r="N29" t="s">
        <v>1064</v>
      </c>
      <c r="O29" t="s">
        <v>1077</v>
      </c>
    </row>
    <row r="30" spans="1:15" x14ac:dyDescent="0.25">
      <c r="A30" t="s">
        <v>108</v>
      </c>
      <c r="B30" t="s">
        <v>79</v>
      </c>
      <c r="C30" t="s">
        <v>269</v>
      </c>
      <c r="D30" t="s">
        <v>8</v>
      </c>
      <c r="E30">
        <v>41</v>
      </c>
      <c r="F30" t="s">
        <v>9</v>
      </c>
      <c r="G30" t="s">
        <v>63</v>
      </c>
      <c r="H30">
        <v>102412</v>
      </c>
      <c r="I30" s="6">
        <v>39351</v>
      </c>
      <c r="J30">
        <v>19</v>
      </c>
      <c r="K30" t="s">
        <v>109</v>
      </c>
      <c r="L30" t="s">
        <v>25</v>
      </c>
      <c r="M30">
        <v>3</v>
      </c>
      <c r="N30" t="s">
        <v>1062</v>
      </c>
      <c r="O30" t="s">
        <v>1074</v>
      </c>
    </row>
    <row r="31" spans="1:15" x14ac:dyDescent="0.25">
      <c r="A31" t="s">
        <v>110</v>
      </c>
      <c r="B31" t="s">
        <v>132</v>
      </c>
      <c r="C31" t="s">
        <v>799</v>
      </c>
      <c r="D31" t="s">
        <v>8</v>
      </c>
      <c r="E31">
        <v>45</v>
      </c>
      <c r="F31" t="s">
        <v>203</v>
      </c>
      <c r="G31" t="s">
        <v>44</v>
      </c>
      <c r="H31">
        <v>54430</v>
      </c>
      <c r="I31" s="6">
        <v>41121</v>
      </c>
      <c r="J31">
        <v>14</v>
      </c>
      <c r="K31" t="s">
        <v>111</v>
      </c>
      <c r="L31" t="s">
        <v>49</v>
      </c>
      <c r="M31">
        <v>5</v>
      </c>
      <c r="N31" t="s">
        <v>1062</v>
      </c>
      <c r="O31" t="s">
        <v>1077</v>
      </c>
    </row>
    <row r="32" spans="1:15" x14ac:dyDescent="0.25">
      <c r="A32" t="s">
        <v>112</v>
      </c>
      <c r="B32" t="s">
        <v>334</v>
      </c>
      <c r="C32" t="s">
        <v>83</v>
      </c>
      <c r="D32" t="s">
        <v>23</v>
      </c>
      <c r="E32">
        <v>54</v>
      </c>
      <c r="F32" t="s">
        <v>154</v>
      </c>
      <c r="G32" t="s">
        <v>63</v>
      </c>
      <c r="H32">
        <v>46991</v>
      </c>
      <c r="I32" s="6">
        <v>38882</v>
      </c>
      <c r="J32">
        <v>20</v>
      </c>
      <c r="K32" t="s">
        <v>113</v>
      </c>
      <c r="L32" t="s">
        <v>14</v>
      </c>
      <c r="M32">
        <v>1</v>
      </c>
      <c r="N32" t="s">
        <v>1064</v>
      </c>
      <c r="O32" t="s">
        <v>1076</v>
      </c>
    </row>
    <row r="33" spans="1:15" x14ac:dyDescent="0.25">
      <c r="A33" t="s">
        <v>114</v>
      </c>
      <c r="B33" t="s">
        <v>115</v>
      </c>
      <c r="C33" t="s">
        <v>31</v>
      </c>
      <c r="D33" t="s">
        <v>23</v>
      </c>
      <c r="E33">
        <v>42</v>
      </c>
      <c r="F33" t="s">
        <v>36</v>
      </c>
      <c r="G33" t="s">
        <v>44</v>
      </c>
      <c r="H33">
        <v>88857</v>
      </c>
      <c r="I33" s="6">
        <v>39471</v>
      </c>
      <c r="J33">
        <v>18</v>
      </c>
      <c r="K33" t="s">
        <v>116</v>
      </c>
      <c r="L33" t="s">
        <v>19</v>
      </c>
      <c r="M33">
        <v>4</v>
      </c>
      <c r="N33" t="s">
        <v>1062</v>
      </c>
      <c r="O33" t="s">
        <v>1077</v>
      </c>
    </row>
    <row r="34" spans="1:15" x14ac:dyDescent="0.25">
      <c r="A34" t="s">
        <v>117</v>
      </c>
      <c r="B34" t="s">
        <v>56</v>
      </c>
      <c r="C34" t="s">
        <v>118</v>
      </c>
      <c r="D34" t="s">
        <v>1</v>
      </c>
      <c r="E34">
        <v>42</v>
      </c>
      <c r="F34" t="s">
        <v>1066</v>
      </c>
      <c r="G34" t="s">
        <v>63</v>
      </c>
      <c r="H34">
        <v>57450</v>
      </c>
      <c r="I34" s="6">
        <v>40367</v>
      </c>
      <c r="J34">
        <v>16</v>
      </c>
      <c r="K34" t="s">
        <v>119</v>
      </c>
      <c r="L34" t="s">
        <v>120</v>
      </c>
      <c r="M34">
        <v>3</v>
      </c>
      <c r="N34" t="s">
        <v>1062</v>
      </c>
      <c r="O34" t="s">
        <v>1077</v>
      </c>
    </row>
    <row r="35" spans="1:15" x14ac:dyDescent="0.25">
      <c r="A35" t="s">
        <v>121</v>
      </c>
      <c r="B35" t="s">
        <v>43</v>
      </c>
      <c r="C35" t="s">
        <v>351</v>
      </c>
      <c r="D35" t="s">
        <v>8</v>
      </c>
      <c r="E35">
        <v>40</v>
      </c>
      <c r="F35" t="s">
        <v>142</v>
      </c>
      <c r="G35" t="s">
        <v>37</v>
      </c>
      <c r="H35">
        <v>63628.5</v>
      </c>
      <c r="I35" s="6">
        <v>43862</v>
      </c>
      <c r="J35">
        <v>6</v>
      </c>
      <c r="K35" t="s">
        <v>122</v>
      </c>
      <c r="L35" t="s">
        <v>25</v>
      </c>
      <c r="M35">
        <v>3</v>
      </c>
      <c r="N35" t="s">
        <v>1061</v>
      </c>
      <c r="O35" t="s">
        <v>1077</v>
      </c>
    </row>
    <row r="36" spans="1:15" x14ac:dyDescent="0.25">
      <c r="A36" t="s">
        <v>123</v>
      </c>
      <c r="B36" t="s">
        <v>87</v>
      </c>
      <c r="C36" t="s">
        <v>124</v>
      </c>
      <c r="D36" t="s">
        <v>1</v>
      </c>
      <c r="E36">
        <v>29</v>
      </c>
      <c r="F36" t="s">
        <v>142</v>
      </c>
      <c r="G36" t="s">
        <v>2</v>
      </c>
      <c r="H36">
        <v>88471.86</v>
      </c>
      <c r="I36" s="6">
        <v>43614</v>
      </c>
      <c r="J36">
        <v>7</v>
      </c>
      <c r="K36" t="s">
        <v>125</v>
      </c>
      <c r="L36" t="s">
        <v>85</v>
      </c>
      <c r="M36">
        <v>3</v>
      </c>
      <c r="N36" t="s">
        <v>1075</v>
      </c>
      <c r="O36" t="s">
        <v>1077</v>
      </c>
    </row>
    <row r="37" spans="1:15" x14ac:dyDescent="0.25">
      <c r="A37" t="s">
        <v>126</v>
      </c>
      <c r="B37" t="s">
        <v>127</v>
      </c>
      <c r="C37" t="s">
        <v>91</v>
      </c>
      <c r="D37" t="s">
        <v>8</v>
      </c>
      <c r="E37">
        <v>50</v>
      </c>
      <c r="F37" t="s">
        <v>154</v>
      </c>
      <c r="G37" t="s">
        <v>17</v>
      </c>
      <c r="H37">
        <v>38928</v>
      </c>
      <c r="I37" s="6">
        <v>44799</v>
      </c>
      <c r="J37">
        <v>4</v>
      </c>
      <c r="K37" t="s">
        <v>128</v>
      </c>
      <c r="L37" t="s">
        <v>14</v>
      </c>
      <c r="M37">
        <v>5</v>
      </c>
      <c r="N37" t="s">
        <v>1063</v>
      </c>
      <c r="O37" t="s">
        <v>1076</v>
      </c>
    </row>
    <row r="38" spans="1:15" x14ac:dyDescent="0.25">
      <c r="A38" t="s">
        <v>129</v>
      </c>
      <c r="B38" t="s">
        <v>401</v>
      </c>
      <c r="C38" t="s">
        <v>118</v>
      </c>
      <c r="D38" t="s">
        <v>23</v>
      </c>
      <c r="E38">
        <v>35</v>
      </c>
      <c r="F38" t="s">
        <v>1066</v>
      </c>
      <c r="G38" t="s">
        <v>37</v>
      </c>
      <c r="H38">
        <v>85797</v>
      </c>
      <c r="I38" s="6">
        <v>45017</v>
      </c>
      <c r="J38">
        <v>3</v>
      </c>
      <c r="K38" t="s">
        <v>130</v>
      </c>
      <c r="L38" t="s">
        <v>28</v>
      </c>
      <c r="M38">
        <v>2</v>
      </c>
      <c r="N38" t="s">
        <v>1060</v>
      </c>
      <c r="O38" t="s">
        <v>1077</v>
      </c>
    </row>
    <row r="39" spans="1:15" x14ac:dyDescent="0.25">
      <c r="A39" t="s">
        <v>131</v>
      </c>
      <c r="B39" t="s">
        <v>132</v>
      </c>
      <c r="C39" t="s">
        <v>962</v>
      </c>
      <c r="D39" t="s">
        <v>8</v>
      </c>
      <c r="E39">
        <v>50</v>
      </c>
      <c r="F39" t="s">
        <v>133</v>
      </c>
      <c r="G39" t="s">
        <v>37</v>
      </c>
      <c r="H39">
        <v>61000</v>
      </c>
      <c r="I39" s="6">
        <v>40721</v>
      </c>
      <c r="J39">
        <v>15</v>
      </c>
      <c r="K39" t="s">
        <v>134</v>
      </c>
      <c r="L39" t="s">
        <v>14</v>
      </c>
      <c r="M39">
        <v>2</v>
      </c>
      <c r="N39" t="s">
        <v>1063</v>
      </c>
      <c r="O39" t="s">
        <v>1077</v>
      </c>
    </row>
    <row r="40" spans="1:15" x14ac:dyDescent="0.25">
      <c r="A40" t="s">
        <v>135</v>
      </c>
      <c r="B40" t="s">
        <v>530</v>
      </c>
      <c r="C40" t="s">
        <v>124</v>
      </c>
      <c r="D40" t="s">
        <v>1</v>
      </c>
      <c r="E40">
        <v>53</v>
      </c>
      <c r="F40" t="s">
        <v>1066</v>
      </c>
      <c r="G40" t="s">
        <v>17</v>
      </c>
      <c r="H40">
        <v>96569</v>
      </c>
      <c r="I40" s="6">
        <v>43305</v>
      </c>
      <c r="J40">
        <v>8</v>
      </c>
      <c r="K40" t="s">
        <v>136</v>
      </c>
      <c r="L40" t="s">
        <v>120</v>
      </c>
      <c r="M40">
        <v>3</v>
      </c>
      <c r="N40" t="s">
        <v>1064</v>
      </c>
      <c r="O40" t="s">
        <v>1077</v>
      </c>
    </row>
    <row r="41" spans="1:15" x14ac:dyDescent="0.25">
      <c r="A41" t="s">
        <v>137</v>
      </c>
      <c r="B41" t="s">
        <v>67</v>
      </c>
      <c r="C41" t="s">
        <v>138</v>
      </c>
      <c r="D41" t="s">
        <v>1</v>
      </c>
      <c r="E41">
        <v>43</v>
      </c>
      <c r="F41" t="s">
        <v>203</v>
      </c>
      <c r="G41" t="s">
        <v>63</v>
      </c>
      <c r="H41">
        <v>45563</v>
      </c>
      <c r="I41" s="6">
        <v>38647</v>
      </c>
      <c r="J41">
        <v>20</v>
      </c>
      <c r="K41" t="s">
        <v>139</v>
      </c>
      <c r="L41" t="s">
        <v>19</v>
      </c>
      <c r="M41">
        <v>3</v>
      </c>
      <c r="N41" t="s">
        <v>1062</v>
      </c>
      <c r="O41" t="s">
        <v>1076</v>
      </c>
    </row>
    <row r="42" spans="1:15" x14ac:dyDescent="0.25">
      <c r="A42" t="s">
        <v>140</v>
      </c>
      <c r="B42" t="s">
        <v>6</v>
      </c>
      <c r="C42" t="s">
        <v>141</v>
      </c>
      <c r="D42" t="s">
        <v>1</v>
      </c>
      <c r="E42">
        <v>35</v>
      </c>
      <c r="F42" t="s">
        <v>142</v>
      </c>
      <c r="G42" t="s">
        <v>17</v>
      </c>
      <c r="H42">
        <v>63726</v>
      </c>
      <c r="I42" s="6">
        <v>41732</v>
      </c>
      <c r="J42">
        <v>12</v>
      </c>
      <c r="K42" t="s">
        <v>143</v>
      </c>
      <c r="L42" t="s">
        <v>14</v>
      </c>
      <c r="M42">
        <v>4</v>
      </c>
      <c r="N42" t="s">
        <v>1060</v>
      </c>
      <c r="O42" t="s">
        <v>1077</v>
      </c>
    </row>
    <row r="43" spans="1:15" x14ac:dyDescent="0.25">
      <c r="A43" t="s">
        <v>144</v>
      </c>
      <c r="B43" t="s">
        <v>268</v>
      </c>
      <c r="C43" t="s">
        <v>118</v>
      </c>
      <c r="D43" t="s">
        <v>1</v>
      </c>
      <c r="E43">
        <v>51</v>
      </c>
      <c r="F43" t="s">
        <v>9</v>
      </c>
      <c r="G43" t="s">
        <v>105</v>
      </c>
      <c r="H43">
        <v>140518</v>
      </c>
      <c r="I43" s="6">
        <v>40653</v>
      </c>
      <c r="J43">
        <v>15</v>
      </c>
      <c r="K43" t="s">
        <v>145</v>
      </c>
      <c r="L43" t="s">
        <v>65</v>
      </c>
      <c r="M43">
        <v>3</v>
      </c>
      <c r="N43" t="s">
        <v>1064</v>
      </c>
      <c r="O43" t="s">
        <v>1074</v>
      </c>
    </row>
    <row r="44" spans="1:15" x14ac:dyDescent="0.25">
      <c r="A44" t="s">
        <v>146</v>
      </c>
      <c r="B44" t="s">
        <v>62</v>
      </c>
      <c r="C44" t="s">
        <v>76</v>
      </c>
      <c r="D44" t="s">
        <v>23</v>
      </c>
      <c r="E44">
        <v>47</v>
      </c>
      <c r="F44" t="s">
        <v>203</v>
      </c>
      <c r="G44" t="s">
        <v>44</v>
      </c>
      <c r="H44">
        <v>52351.55</v>
      </c>
      <c r="I44" s="6">
        <v>41822</v>
      </c>
      <c r="J44">
        <v>12</v>
      </c>
      <c r="K44" t="s">
        <v>147</v>
      </c>
      <c r="L44" t="s">
        <v>120</v>
      </c>
      <c r="M44">
        <v>3</v>
      </c>
      <c r="N44" t="s">
        <v>1063</v>
      </c>
      <c r="O44" t="s">
        <v>1077</v>
      </c>
    </row>
    <row r="45" spans="1:15" x14ac:dyDescent="0.25">
      <c r="A45" t="s">
        <v>148</v>
      </c>
      <c r="B45" t="s">
        <v>21</v>
      </c>
      <c r="C45" t="s">
        <v>35</v>
      </c>
      <c r="D45" t="s">
        <v>23</v>
      </c>
      <c r="E45">
        <v>38</v>
      </c>
      <c r="F45" t="s">
        <v>181</v>
      </c>
      <c r="G45" t="s">
        <v>37</v>
      </c>
      <c r="H45">
        <v>53345</v>
      </c>
      <c r="I45" s="6">
        <v>42575</v>
      </c>
      <c r="J45">
        <v>10</v>
      </c>
      <c r="K45" t="s">
        <v>149</v>
      </c>
      <c r="L45" t="s">
        <v>54</v>
      </c>
      <c r="M45">
        <v>4</v>
      </c>
      <c r="N45" t="s">
        <v>1061</v>
      </c>
      <c r="O45" t="s">
        <v>1077</v>
      </c>
    </row>
    <row r="46" spans="1:15" x14ac:dyDescent="0.25">
      <c r="A46" t="s">
        <v>150</v>
      </c>
      <c r="B46" t="s">
        <v>115</v>
      </c>
      <c r="C46" t="s">
        <v>180</v>
      </c>
      <c r="D46" t="s">
        <v>1</v>
      </c>
      <c r="E46">
        <v>53</v>
      </c>
      <c r="F46" t="s">
        <v>9</v>
      </c>
      <c r="G46" t="s">
        <v>17</v>
      </c>
      <c r="H46">
        <v>93825</v>
      </c>
      <c r="I46" s="6">
        <v>39366</v>
      </c>
      <c r="J46">
        <v>18</v>
      </c>
      <c r="K46" t="s">
        <v>151</v>
      </c>
      <c r="L46" t="s">
        <v>107</v>
      </c>
      <c r="M46">
        <v>2</v>
      </c>
      <c r="N46" t="s">
        <v>1064</v>
      </c>
      <c r="O46" t="s">
        <v>1077</v>
      </c>
    </row>
    <row r="47" spans="1:15" x14ac:dyDescent="0.25">
      <c r="A47" t="s">
        <v>152</v>
      </c>
      <c r="B47" t="s">
        <v>232</v>
      </c>
      <c r="C47" t="s">
        <v>153</v>
      </c>
      <c r="D47" t="s">
        <v>1</v>
      </c>
      <c r="E47">
        <v>34</v>
      </c>
      <c r="F47" t="s">
        <v>154</v>
      </c>
      <c r="G47" t="s">
        <v>44</v>
      </c>
      <c r="H47">
        <v>41306</v>
      </c>
      <c r="I47" s="6">
        <v>44419</v>
      </c>
      <c r="J47">
        <v>5</v>
      </c>
      <c r="K47" t="s">
        <v>155</v>
      </c>
      <c r="L47" t="s">
        <v>49</v>
      </c>
      <c r="M47">
        <v>4</v>
      </c>
      <c r="N47" t="s">
        <v>1060</v>
      </c>
      <c r="O47" t="s">
        <v>1076</v>
      </c>
    </row>
    <row r="48" spans="1:15" x14ac:dyDescent="0.25">
      <c r="A48" t="s">
        <v>156</v>
      </c>
      <c r="B48" t="s">
        <v>132</v>
      </c>
      <c r="C48" t="s">
        <v>153</v>
      </c>
      <c r="D48" t="s">
        <v>23</v>
      </c>
      <c r="E48">
        <v>41</v>
      </c>
      <c r="F48" t="s">
        <v>133</v>
      </c>
      <c r="G48" t="s">
        <v>17</v>
      </c>
      <c r="H48">
        <v>58556</v>
      </c>
      <c r="I48" s="6">
        <v>41506</v>
      </c>
      <c r="J48">
        <v>13</v>
      </c>
      <c r="K48" t="s">
        <v>157</v>
      </c>
      <c r="L48" t="s">
        <v>107</v>
      </c>
      <c r="M48">
        <v>3</v>
      </c>
      <c r="N48" t="s">
        <v>1062</v>
      </c>
      <c r="O48" t="s">
        <v>1077</v>
      </c>
    </row>
    <row r="49" spans="1:15" x14ac:dyDescent="0.25">
      <c r="A49" t="s">
        <v>158</v>
      </c>
      <c r="B49" t="s">
        <v>469</v>
      </c>
      <c r="C49" t="s">
        <v>215</v>
      </c>
      <c r="D49" t="s">
        <v>1</v>
      </c>
      <c r="E49">
        <v>50</v>
      </c>
      <c r="F49" t="s">
        <v>295</v>
      </c>
      <c r="G49" t="s">
        <v>105</v>
      </c>
      <c r="H49">
        <v>118413.5</v>
      </c>
      <c r="I49" s="6">
        <v>41179</v>
      </c>
      <c r="J49">
        <v>14</v>
      </c>
      <c r="K49" t="s">
        <v>159</v>
      </c>
      <c r="L49" t="s">
        <v>14</v>
      </c>
      <c r="M49">
        <v>4</v>
      </c>
      <c r="N49" t="s">
        <v>1063</v>
      </c>
      <c r="O49" t="s">
        <v>1074</v>
      </c>
    </row>
    <row r="50" spans="1:15" x14ac:dyDescent="0.25">
      <c r="A50" t="s">
        <v>160</v>
      </c>
      <c r="B50" t="s">
        <v>514</v>
      </c>
      <c r="C50" t="s">
        <v>16</v>
      </c>
      <c r="D50" t="s">
        <v>23</v>
      </c>
      <c r="E50">
        <v>51</v>
      </c>
      <c r="F50" t="s">
        <v>295</v>
      </c>
      <c r="G50" t="s">
        <v>161</v>
      </c>
      <c r="H50">
        <v>143601</v>
      </c>
      <c r="I50" s="6">
        <v>45431</v>
      </c>
      <c r="J50">
        <v>2</v>
      </c>
      <c r="K50" t="s">
        <v>162</v>
      </c>
      <c r="L50" t="s">
        <v>25</v>
      </c>
      <c r="M50">
        <v>4</v>
      </c>
      <c r="N50" t="s">
        <v>1064</v>
      </c>
      <c r="O50" t="s">
        <v>1074</v>
      </c>
    </row>
    <row r="51" spans="1:15" x14ac:dyDescent="0.25">
      <c r="A51" t="s">
        <v>163</v>
      </c>
      <c r="B51" t="s">
        <v>99</v>
      </c>
      <c r="C51" t="s">
        <v>287</v>
      </c>
      <c r="D51" t="s">
        <v>23</v>
      </c>
      <c r="E51">
        <v>43</v>
      </c>
      <c r="F51" t="s">
        <v>32</v>
      </c>
      <c r="G51" t="s">
        <v>100</v>
      </c>
      <c r="H51">
        <v>65603</v>
      </c>
      <c r="I51" s="6">
        <v>43340</v>
      </c>
      <c r="J51">
        <v>8</v>
      </c>
      <c r="K51" t="s">
        <v>164</v>
      </c>
      <c r="L51" t="s">
        <v>65</v>
      </c>
      <c r="M51">
        <v>5</v>
      </c>
      <c r="N51" t="s">
        <v>1062</v>
      </c>
      <c r="O51" t="s">
        <v>1077</v>
      </c>
    </row>
    <row r="52" spans="1:15" x14ac:dyDescent="0.25">
      <c r="A52" t="s">
        <v>165</v>
      </c>
      <c r="B52" t="s">
        <v>268</v>
      </c>
      <c r="C52" t="s">
        <v>166</v>
      </c>
      <c r="D52" t="s">
        <v>23</v>
      </c>
      <c r="E52">
        <v>44</v>
      </c>
      <c r="F52" t="s">
        <v>1066</v>
      </c>
      <c r="G52" t="s">
        <v>44</v>
      </c>
      <c r="H52">
        <v>66020</v>
      </c>
      <c r="I52" s="6">
        <v>41119</v>
      </c>
      <c r="J52">
        <v>14</v>
      </c>
      <c r="K52" t="s">
        <v>167</v>
      </c>
      <c r="L52" t="s">
        <v>25</v>
      </c>
      <c r="M52">
        <v>5</v>
      </c>
      <c r="N52" t="s">
        <v>1062</v>
      </c>
      <c r="O52" t="s">
        <v>1077</v>
      </c>
    </row>
    <row r="53" spans="1:15" x14ac:dyDescent="0.25">
      <c r="A53" t="s">
        <v>168</v>
      </c>
      <c r="B53" t="s">
        <v>469</v>
      </c>
      <c r="C53" t="s">
        <v>169</v>
      </c>
      <c r="D53" t="s">
        <v>8</v>
      </c>
      <c r="E53">
        <v>36</v>
      </c>
      <c r="F53" t="s">
        <v>32</v>
      </c>
      <c r="G53" t="s">
        <v>105</v>
      </c>
      <c r="H53">
        <v>118974</v>
      </c>
      <c r="I53" s="6">
        <v>42783</v>
      </c>
      <c r="J53">
        <v>9</v>
      </c>
      <c r="K53" t="s">
        <v>170</v>
      </c>
      <c r="L53" t="s">
        <v>54</v>
      </c>
      <c r="M53">
        <v>1</v>
      </c>
      <c r="N53" t="s">
        <v>1061</v>
      </c>
      <c r="O53" t="s">
        <v>1074</v>
      </c>
    </row>
    <row r="54" spans="1:15" x14ac:dyDescent="0.25">
      <c r="A54" t="s">
        <v>171</v>
      </c>
      <c r="B54" t="s">
        <v>334</v>
      </c>
      <c r="C54" t="s">
        <v>452</v>
      </c>
      <c r="D54" t="s">
        <v>8</v>
      </c>
      <c r="E54">
        <v>51</v>
      </c>
      <c r="F54" t="s">
        <v>9</v>
      </c>
      <c r="G54" t="s">
        <v>105</v>
      </c>
      <c r="H54">
        <v>130788</v>
      </c>
      <c r="I54" s="6">
        <v>40089</v>
      </c>
      <c r="J54">
        <v>17</v>
      </c>
      <c r="K54" t="s">
        <v>172</v>
      </c>
      <c r="L54" t="s">
        <v>4</v>
      </c>
      <c r="M54">
        <v>1</v>
      </c>
      <c r="N54" t="s">
        <v>1064</v>
      </c>
      <c r="O54" t="s">
        <v>1074</v>
      </c>
    </row>
    <row r="55" spans="1:15" x14ac:dyDescent="0.25">
      <c r="A55" t="s">
        <v>173</v>
      </c>
      <c r="B55" t="s">
        <v>79</v>
      </c>
      <c r="C55" t="s">
        <v>16</v>
      </c>
      <c r="D55" t="s">
        <v>8</v>
      </c>
      <c r="E55">
        <v>27</v>
      </c>
      <c r="F55" t="s">
        <v>203</v>
      </c>
      <c r="G55" t="s">
        <v>17</v>
      </c>
      <c r="H55">
        <v>55433</v>
      </c>
      <c r="I55" s="6">
        <v>45357</v>
      </c>
      <c r="J55">
        <v>2</v>
      </c>
      <c r="K55" t="s">
        <v>174</v>
      </c>
      <c r="L55" t="s">
        <v>54</v>
      </c>
      <c r="M55">
        <v>2</v>
      </c>
      <c r="N55" t="s">
        <v>1075</v>
      </c>
      <c r="O55" t="s">
        <v>1077</v>
      </c>
    </row>
    <row r="56" spans="1:15" x14ac:dyDescent="0.25">
      <c r="A56" t="s">
        <v>175</v>
      </c>
      <c r="B56" t="s">
        <v>355</v>
      </c>
      <c r="C56" t="s">
        <v>88</v>
      </c>
      <c r="D56" t="s">
        <v>1</v>
      </c>
      <c r="E56">
        <v>52</v>
      </c>
      <c r="F56" t="s">
        <v>1066</v>
      </c>
      <c r="G56" t="s">
        <v>2</v>
      </c>
      <c r="H56">
        <v>59417</v>
      </c>
      <c r="I56" s="6">
        <v>41017</v>
      </c>
      <c r="J56">
        <v>14</v>
      </c>
      <c r="K56" t="s">
        <v>176</v>
      </c>
      <c r="L56" t="s">
        <v>4</v>
      </c>
      <c r="M56">
        <v>4</v>
      </c>
      <c r="N56" t="s">
        <v>1064</v>
      </c>
      <c r="O56" t="s">
        <v>1077</v>
      </c>
    </row>
    <row r="57" spans="1:15" x14ac:dyDescent="0.25">
      <c r="A57" t="s">
        <v>177</v>
      </c>
      <c r="B57" t="s">
        <v>476</v>
      </c>
      <c r="C57" t="s">
        <v>83</v>
      </c>
      <c r="D57" t="s">
        <v>1</v>
      </c>
      <c r="E57">
        <v>28</v>
      </c>
      <c r="F57" t="s">
        <v>133</v>
      </c>
      <c r="G57" t="s">
        <v>44</v>
      </c>
      <c r="H57">
        <v>54549</v>
      </c>
      <c r="I57" s="6">
        <v>44578</v>
      </c>
      <c r="J57">
        <v>4</v>
      </c>
      <c r="K57" t="s">
        <v>178</v>
      </c>
      <c r="L57" t="s">
        <v>107</v>
      </c>
      <c r="M57">
        <v>5</v>
      </c>
      <c r="N57" t="s">
        <v>1075</v>
      </c>
      <c r="O57" t="s">
        <v>1077</v>
      </c>
    </row>
    <row r="58" spans="1:15" x14ac:dyDescent="0.25">
      <c r="A58" t="s">
        <v>179</v>
      </c>
      <c r="B58" t="s">
        <v>56</v>
      </c>
      <c r="C58" t="s">
        <v>180</v>
      </c>
      <c r="D58" t="s">
        <v>1</v>
      </c>
      <c r="E58">
        <v>41</v>
      </c>
      <c r="F58" t="s">
        <v>181</v>
      </c>
      <c r="G58" t="s">
        <v>63</v>
      </c>
      <c r="H58">
        <v>64886</v>
      </c>
      <c r="I58" s="6">
        <v>43734</v>
      </c>
      <c r="J58">
        <v>7</v>
      </c>
      <c r="K58" t="s">
        <v>182</v>
      </c>
      <c r="L58" t="s">
        <v>39</v>
      </c>
      <c r="M58">
        <v>3</v>
      </c>
      <c r="N58" t="s">
        <v>1062</v>
      </c>
      <c r="O58" t="s">
        <v>1077</v>
      </c>
    </row>
    <row r="59" spans="1:15" x14ac:dyDescent="0.25">
      <c r="A59" t="s">
        <v>183</v>
      </c>
      <c r="B59" t="s">
        <v>184</v>
      </c>
      <c r="C59" t="s">
        <v>427</v>
      </c>
      <c r="D59" t="s">
        <v>1</v>
      </c>
      <c r="E59">
        <v>54</v>
      </c>
      <c r="F59" t="s">
        <v>9</v>
      </c>
      <c r="G59" t="s">
        <v>100</v>
      </c>
      <c r="H59">
        <v>70981</v>
      </c>
      <c r="I59" s="6">
        <v>38873</v>
      </c>
      <c r="J59">
        <v>20</v>
      </c>
      <c r="K59" t="s">
        <v>185</v>
      </c>
      <c r="L59" t="s">
        <v>39</v>
      </c>
      <c r="M59">
        <v>3</v>
      </c>
      <c r="N59" t="s">
        <v>1064</v>
      </c>
      <c r="O59" t="s">
        <v>1077</v>
      </c>
    </row>
    <row r="60" spans="1:15" x14ac:dyDescent="0.25">
      <c r="A60" t="s">
        <v>186</v>
      </c>
      <c r="B60" t="s">
        <v>43</v>
      </c>
      <c r="C60" t="s">
        <v>83</v>
      </c>
      <c r="D60" t="s">
        <v>1</v>
      </c>
      <c r="E60">
        <v>35</v>
      </c>
      <c r="F60" t="s">
        <v>154</v>
      </c>
      <c r="G60" t="s">
        <v>100</v>
      </c>
      <c r="H60">
        <v>40569.07</v>
      </c>
      <c r="I60" s="6"/>
      <c r="K60" t="s">
        <v>187</v>
      </c>
      <c r="L60" t="s">
        <v>14</v>
      </c>
      <c r="M60">
        <v>5</v>
      </c>
      <c r="N60" t="s">
        <v>1060</v>
      </c>
      <c r="O60" t="s">
        <v>1076</v>
      </c>
    </row>
    <row r="61" spans="1:15" x14ac:dyDescent="0.25">
      <c r="A61" t="s">
        <v>188</v>
      </c>
      <c r="B61" t="s">
        <v>184</v>
      </c>
      <c r="C61" t="s">
        <v>291</v>
      </c>
      <c r="D61" t="s">
        <v>23</v>
      </c>
      <c r="E61">
        <v>43</v>
      </c>
      <c r="F61" t="s">
        <v>295</v>
      </c>
      <c r="G61" t="s">
        <v>17</v>
      </c>
      <c r="H61">
        <v>68894.135000000009</v>
      </c>
      <c r="I61" s="6"/>
      <c r="K61" t="s">
        <v>189</v>
      </c>
      <c r="L61" t="s">
        <v>19</v>
      </c>
      <c r="M61">
        <v>4</v>
      </c>
      <c r="N61" t="s">
        <v>1062</v>
      </c>
      <c r="O61" t="s">
        <v>1077</v>
      </c>
    </row>
    <row r="62" spans="1:15" x14ac:dyDescent="0.25">
      <c r="A62" t="s">
        <v>190</v>
      </c>
      <c r="B62" t="s">
        <v>67</v>
      </c>
      <c r="C62" t="s">
        <v>7</v>
      </c>
      <c r="D62" t="s">
        <v>23</v>
      </c>
      <c r="E62">
        <v>40</v>
      </c>
      <c r="F62" t="s">
        <v>32</v>
      </c>
      <c r="G62" t="s">
        <v>100</v>
      </c>
      <c r="H62">
        <v>65091</v>
      </c>
      <c r="I62" s="6">
        <v>44813</v>
      </c>
      <c r="J62">
        <v>4</v>
      </c>
      <c r="K62" t="s">
        <v>191</v>
      </c>
      <c r="L62" t="s">
        <v>19</v>
      </c>
      <c r="M62">
        <v>4</v>
      </c>
      <c r="N62" t="s">
        <v>1061</v>
      </c>
      <c r="O62" t="s">
        <v>1077</v>
      </c>
    </row>
    <row r="63" spans="1:15" x14ac:dyDescent="0.25">
      <c r="A63" t="s">
        <v>192</v>
      </c>
      <c r="B63" t="s">
        <v>334</v>
      </c>
      <c r="C63" t="s">
        <v>88</v>
      </c>
      <c r="D63" t="s">
        <v>8</v>
      </c>
      <c r="E63">
        <v>33</v>
      </c>
      <c r="F63" t="s">
        <v>1066</v>
      </c>
      <c r="G63" t="s">
        <v>17</v>
      </c>
      <c r="H63">
        <v>71035.5</v>
      </c>
      <c r="I63" s="6">
        <v>44847</v>
      </c>
      <c r="J63">
        <v>3</v>
      </c>
      <c r="K63" t="s">
        <v>193</v>
      </c>
      <c r="L63" t="s">
        <v>11</v>
      </c>
      <c r="M63">
        <v>4</v>
      </c>
      <c r="N63" t="s">
        <v>1060</v>
      </c>
      <c r="O63" t="s">
        <v>1077</v>
      </c>
    </row>
    <row r="64" spans="1:15" x14ac:dyDescent="0.25">
      <c r="A64" t="s">
        <v>194</v>
      </c>
      <c r="B64" t="s">
        <v>714</v>
      </c>
      <c r="C64" t="s">
        <v>589</v>
      </c>
      <c r="D64" t="s">
        <v>23</v>
      </c>
      <c r="E64">
        <v>40</v>
      </c>
      <c r="F64" t="s">
        <v>142</v>
      </c>
      <c r="G64" t="s">
        <v>17</v>
      </c>
      <c r="H64">
        <v>53870</v>
      </c>
      <c r="I64" s="6">
        <v>40246</v>
      </c>
      <c r="J64">
        <v>16</v>
      </c>
      <c r="K64" t="s">
        <v>195</v>
      </c>
      <c r="L64" t="s">
        <v>25</v>
      </c>
      <c r="M64">
        <v>3</v>
      </c>
      <c r="N64" t="s">
        <v>1061</v>
      </c>
      <c r="O64" t="s">
        <v>1077</v>
      </c>
    </row>
    <row r="65" spans="1:15" x14ac:dyDescent="0.25">
      <c r="A65" t="s">
        <v>196</v>
      </c>
      <c r="B65" t="s">
        <v>115</v>
      </c>
      <c r="C65" t="s">
        <v>799</v>
      </c>
      <c r="D65" t="s">
        <v>23</v>
      </c>
      <c r="E65">
        <v>30</v>
      </c>
      <c r="F65" t="s">
        <v>181</v>
      </c>
      <c r="G65" t="s">
        <v>100</v>
      </c>
      <c r="H65">
        <v>52477.33</v>
      </c>
      <c r="I65" s="6">
        <v>43513</v>
      </c>
      <c r="J65">
        <v>7</v>
      </c>
      <c r="K65" t="s">
        <v>197</v>
      </c>
      <c r="L65" t="s">
        <v>14</v>
      </c>
      <c r="M65">
        <v>4</v>
      </c>
      <c r="N65" t="s">
        <v>1075</v>
      </c>
      <c r="O65" t="s">
        <v>1077</v>
      </c>
    </row>
    <row r="66" spans="1:15" x14ac:dyDescent="0.25">
      <c r="A66" t="s">
        <v>198</v>
      </c>
      <c r="B66" t="s">
        <v>514</v>
      </c>
      <c r="C66" t="s">
        <v>141</v>
      </c>
      <c r="D66" t="s">
        <v>1</v>
      </c>
      <c r="E66">
        <v>48</v>
      </c>
      <c r="F66" t="s">
        <v>313</v>
      </c>
      <c r="G66" t="s">
        <v>2</v>
      </c>
      <c r="H66">
        <v>131470</v>
      </c>
      <c r="I66" s="6">
        <v>39705</v>
      </c>
      <c r="J66">
        <v>18</v>
      </c>
      <c r="K66" t="s">
        <v>199</v>
      </c>
      <c r="L66" t="s">
        <v>25</v>
      </c>
      <c r="M66">
        <v>3</v>
      </c>
      <c r="N66" t="s">
        <v>1063</v>
      </c>
      <c r="O66" t="s">
        <v>1074</v>
      </c>
    </row>
    <row r="67" spans="1:15" x14ac:dyDescent="0.25">
      <c r="A67" t="s">
        <v>200</v>
      </c>
      <c r="B67" t="s">
        <v>290</v>
      </c>
      <c r="C67" t="s">
        <v>291</v>
      </c>
      <c r="D67" t="s">
        <v>1</v>
      </c>
      <c r="E67">
        <v>32</v>
      </c>
      <c r="F67" t="s">
        <v>295</v>
      </c>
      <c r="G67" t="s">
        <v>105</v>
      </c>
      <c r="H67">
        <v>127222</v>
      </c>
      <c r="I67" s="6">
        <v>45410</v>
      </c>
      <c r="J67">
        <v>2</v>
      </c>
      <c r="K67" t="s">
        <v>201</v>
      </c>
      <c r="L67" t="s">
        <v>107</v>
      </c>
      <c r="M67">
        <v>4</v>
      </c>
      <c r="N67" t="s">
        <v>1060</v>
      </c>
      <c r="O67" t="s">
        <v>1074</v>
      </c>
    </row>
    <row r="68" spans="1:15" x14ac:dyDescent="0.25">
      <c r="A68" t="s">
        <v>202</v>
      </c>
      <c r="B68" t="s">
        <v>132</v>
      </c>
      <c r="C68" t="s">
        <v>68</v>
      </c>
      <c r="D68" t="s">
        <v>23</v>
      </c>
      <c r="E68">
        <v>40</v>
      </c>
      <c r="F68" t="s">
        <v>203</v>
      </c>
      <c r="G68" t="s">
        <v>63</v>
      </c>
      <c r="H68">
        <v>58487</v>
      </c>
      <c r="I68" s="6">
        <v>45066</v>
      </c>
      <c r="J68">
        <v>3</v>
      </c>
      <c r="K68" t="s">
        <v>204</v>
      </c>
      <c r="L68" t="s">
        <v>107</v>
      </c>
      <c r="M68">
        <v>3</v>
      </c>
      <c r="N68" t="s">
        <v>1061</v>
      </c>
      <c r="O68" t="s">
        <v>1077</v>
      </c>
    </row>
    <row r="69" spans="1:15" x14ac:dyDescent="0.25">
      <c r="A69" t="s">
        <v>205</v>
      </c>
      <c r="B69" t="s">
        <v>282</v>
      </c>
      <c r="C69" t="s">
        <v>22</v>
      </c>
      <c r="D69" t="s">
        <v>23</v>
      </c>
      <c r="E69">
        <v>36</v>
      </c>
      <c r="F69" t="s">
        <v>142</v>
      </c>
      <c r="G69" t="s">
        <v>63</v>
      </c>
      <c r="H69">
        <v>53165</v>
      </c>
      <c r="I69" s="6">
        <v>40806</v>
      </c>
      <c r="J69">
        <v>15</v>
      </c>
      <c r="K69" t="s">
        <v>206</v>
      </c>
      <c r="L69" t="s">
        <v>207</v>
      </c>
      <c r="M69">
        <v>1</v>
      </c>
      <c r="N69" t="s">
        <v>1061</v>
      </c>
      <c r="O69" t="s">
        <v>1077</v>
      </c>
    </row>
    <row r="70" spans="1:15" x14ac:dyDescent="0.25">
      <c r="A70" t="s">
        <v>208</v>
      </c>
      <c r="B70" t="s">
        <v>232</v>
      </c>
      <c r="C70" t="s">
        <v>31</v>
      </c>
      <c r="D70" t="s">
        <v>1</v>
      </c>
      <c r="E70">
        <v>45</v>
      </c>
      <c r="F70" t="s">
        <v>9</v>
      </c>
      <c r="G70" t="s">
        <v>63</v>
      </c>
      <c r="H70">
        <v>95369</v>
      </c>
      <c r="I70" s="6">
        <v>40628</v>
      </c>
      <c r="J70">
        <v>15</v>
      </c>
      <c r="K70" t="s">
        <v>209</v>
      </c>
      <c r="L70" t="s">
        <v>39</v>
      </c>
      <c r="M70">
        <v>3</v>
      </c>
      <c r="N70" t="s">
        <v>1062</v>
      </c>
      <c r="O70" t="s">
        <v>1077</v>
      </c>
    </row>
    <row r="71" spans="1:15" x14ac:dyDescent="0.25">
      <c r="A71" t="s">
        <v>210</v>
      </c>
      <c r="B71" t="s">
        <v>316</v>
      </c>
      <c r="C71" t="s">
        <v>356</v>
      </c>
      <c r="D71" t="s">
        <v>1</v>
      </c>
      <c r="E71">
        <v>57</v>
      </c>
      <c r="F71" t="s">
        <v>181</v>
      </c>
      <c r="G71" t="s">
        <v>100</v>
      </c>
      <c r="H71">
        <v>50394.165000000001</v>
      </c>
      <c r="I71" s="6">
        <v>41189</v>
      </c>
      <c r="J71">
        <v>14</v>
      </c>
      <c r="K71" t="s">
        <v>211</v>
      </c>
      <c r="L71" t="s">
        <v>25</v>
      </c>
      <c r="M71">
        <v>3</v>
      </c>
      <c r="N71" t="s">
        <v>1065</v>
      </c>
      <c r="O71" t="s">
        <v>1077</v>
      </c>
    </row>
    <row r="72" spans="1:15" x14ac:dyDescent="0.25">
      <c r="A72" t="s">
        <v>212</v>
      </c>
      <c r="B72" t="s">
        <v>16</v>
      </c>
      <c r="C72" t="s">
        <v>7</v>
      </c>
      <c r="D72" t="s">
        <v>1</v>
      </c>
      <c r="E72">
        <v>27</v>
      </c>
      <c r="F72" t="s">
        <v>142</v>
      </c>
      <c r="G72" t="s">
        <v>17</v>
      </c>
      <c r="H72">
        <v>50155</v>
      </c>
      <c r="I72" s="6">
        <v>43754</v>
      </c>
      <c r="J72">
        <v>6</v>
      </c>
      <c r="K72" t="s">
        <v>213</v>
      </c>
      <c r="L72" t="s">
        <v>25</v>
      </c>
      <c r="M72">
        <v>3</v>
      </c>
      <c r="N72" t="s">
        <v>1075</v>
      </c>
      <c r="O72" t="s">
        <v>1077</v>
      </c>
    </row>
    <row r="73" spans="1:15" x14ac:dyDescent="0.25">
      <c r="A73" t="s">
        <v>214</v>
      </c>
      <c r="B73" t="s">
        <v>115</v>
      </c>
      <c r="C73" t="s">
        <v>215</v>
      </c>
      <c r="D73" t="s">
        <v>1</v>
      </c>
      <c r="E73">
        <v>50</v>
      </c>
      <c r="F73" t="s">
        <v>133</v>
      </c>
      <c r="G73" t="s">
        <v>216</v>
      </c>
      <c r="H73">
        <v>152938</v>
      </c>
      <c r="I73" s="6">
        <v>38915</v>
      </c>
      <c r="J73">
        <v>20</v>
      </c>
      <c r="K73" t="s">
        <v>217</v>
      </c>
      <c r="L73" t="s">
        <v>65</v>
      </c>
      <c r="M73">
        <v>5</v>
      </c>
      <c r="N73" t="s">
        <v>1063</v>
      </c>
      <c r="O73" t="s">
        <v>1078</v>
      </c>
    </row>
    <row r="74" spans="1:15" x14ac:dyDescent="0.25">
      <c r="A74" t="s">
        <v>218</v>
      </c>
      <c r="B74" t="s">
        <v>103</v>
      </c>
      <c r="C74" t="s">
        <v>562</v>
      </c>
      <c r="D74" t="s">
        <v>23</v>
      </c>
      <c r="E74">
        <v>49</v>
      </c>
      <c r="F74" t="s">
        <v>313</v>
      </c>
      <c r="G74" t="s">
        <v>161</v>
      </c>
      <c r="H74">
        <v>191037</v>
      </c>
      <c r="I74" s="6">
        <v>39263</v>
      </c>
      <c r="J74">
        <v>19</v>
      </c>
      <c r="K74" t="s">
        <v>219</v>
      </c>
      <c r="L74" t="s">
        <v>65</v>
      </c>
      <c r="M74">
        <v>3</v>
      </c>
      <c r="N74" t="s">
        <v>1063</v>
      </c>
      <c r="O74" t="s">
        <v>1078</v>
      </c>
    </row>
    <row r="75" spans="1:15" x14ac:dyDescent="0.25">
      <c r="A75" t="s">
        <v>220</v>
      </c>
      <c r="B75" t="s">
        <v>221</v>
      </c>
      <c r="C75" t="s">
        <v>222</v>
      </c>
      <c r="D75" t="s">
        <v>1</v>
      </c>
      <c r="E75">
        <v>41</v>
      </c>
      <c r="F75" t="s">
        <v>142</v>
      </c>
      <c r="G75" t="s">
        <v>63</v>
      </c>
      <c r="H75">
        <v>64376</v>
      </c>
      <c r="I75" s="6">
        <v>44276</v>
      </c>
      <c r="J75">
        <v>5</v>
      </c>
      <c r="K75" t="s">
        <v>223</v>
      </c>
      <c r="L75" t="s">
        <v>85</v>
      </c>
      <c r="M75">
        <v>5</v>
      </c>
      <c r="N75" t="s">
        <v>1062</v>
      </c>
      <c r="O75" t="s">
        <v>1077</v>
      </c>
    </row>
    <row r="76" spans="1:15" x14ac:dyDescent="0.25">
      <c r="A76" t="s">
        <v>224</v>
      </c>
      <c r="B76" t="s">
        <v>184</v>
      </c>
      <c r="C76" t="s">
        <v>308</v>
      </c>
      <c r="D76" t="s">
        <v>23</v>
      </c>
      <c r="E76">
        <v>51</v>
      </c>
      <c r="F76" t="s">
        <v>142</v>
      </c>
      <c r="G76" t="s">
        <v>100</v>
      </c>
      <c r="H76">
        <v>46456</v>
      </c>
      <c r="I76" s="6">
        <v>40007</v>
      </c>
      <c r="J76">
        <v>17</v>
      </c>
      <c r="K76" t="s">
        <v>225</v>
      </c>
      <c r="L76" t="s">
        <v>25</v>
      </c>
      <c r="M76">
        <v>4</v>
      </c>
      <c r="N76" t="s">
        <v>1064</v>
      </c>
      <c r="O76" t="s">
        <v>1076</v>
      </c>
    </row>
    <row r="77" spans="1:15" x14ac:dyDescent="0.25">
      <c r="A77" t="s">
        <v>226</v>
      </c>
      <c r="B77" t="s">
        <v>79</v>
      </c>
      <c r="C77" t="s">
        <v>22</v>
      </c>
      <c r="D77" t="s">
        <v>1</v>
      </c>
      <c r="E77">
        <v>28</v>
      </c>
      <c r="F77" t="s">
        <v>32</v>
      </c>
      <c r="G77" t="s">
        <v>44</v>
      </c>
      <c r="H77">
        <v>68791</v>
      </c>
      <c r="I77" s="6">
        <v>44659</v>
      </c>
      <c r="J77">
        <v>4</v>
      </c>
      <c r="K77" t="s">
        <v>227</v>
      </c>
      <c r="L77" t="s">
        <v>4</v>
      </c>
      <c r="M77">
        <v>3</v>
      </c>
      <c r="N77" t="s">
        <v>1075</v>
      </c>
      <c r="O77" t="s">
        <v>1077</v>
      </c>
    </row>
    <row r="78" spans="1:15" x14ac:dyDescent="0.25">
      <c r="A78" t="s">
        <v>228</v>
      </c>
      <c r="B78" t="s">
        <v>229</v>
      </c>
      <c r="C78" t="s">
        <v>287</v>
      </c>
      <c r="D78" t="s">
        <v>23</v>
      </c>
      <c r="E78">
        <v>48</v>
      </c>
      <c r="F78" t="s">
        <v>154</v>
      </c>
      <c r="G78" t="s">
        <v>216</v>
      </c>
      <c r="H78">
        <v>111837</v>
      </c>
      <c r="I78" s="6">
        <v>39010</v>
      </c>
      <c r="J78">
        <v>19</v>
      </c>
      <c r="K78" t="s">
        <v>230</v>
      </c>
      <c r="L78" t="s">
        <v>85</v>
      </c>
      <c r="M78">
        <v>4</v>
      </c>
      <c r="N78" t="s">
        <v>1063</v>
      </c>
      <c r="O78" t="s">
        <v>1074</v>
      </c>
    </row>
    <row r="79" spans="1:15" x14ac:dyDescent="0.25">
      <c r="A79" t="s">
        <v>231</v>
      </c>
      <c r="B79" t="s">
        <v>232</v>
      </c>
      <c r="C79" t="s">
        <v>91</v>
      </c>
      <c r="D79" t="s">
        <v>8</v>
      </c>
      <c r="E79">
        <v>47</v>
      </c>
      <c r="F79" t="s">
        <v>181</v>
      </c>
      <c r="G79" t="s">
        <v>105</v>
      </c>
      <c r="H79">
        <v>85511</v>
      </c>
      <c r="I79" s="6">
        <v>45635</v>
      </c>
      <c r="J79">
        <v>1</v>
      </c>
      <c r="K79" t="s">
        <v>233</v>
      </c>
      <c r="L79" t="s">
        <v>207</v>
      </c>
      <c r="M79">
        <v>4</v>
      </c>
      <c r="N79" t="s">
        <v>1063</v>
      </c>
      <c r="O79" t="s">
        <v>1077</v>
      </c>
    </row>
    <row r="80" spans="1:15" x14ac:dyDescent="0.25">
      <c r="A80" t="s">
        <v>234</v>
      </c>
      <c r="B80" t="s">
        <v>374</v>
      </c>
      <c r="C80" t="s">
        <v>7</v>
      </c>
      <c r="D80" t="s">
        <v>23</v>
      </c>
      <c r="E80">
        <v>34</v>
      </c>
      <c r="F80" t="s">
        <v>154</v>
      </c>
      <c r="G80" t="s">
        <v>63</v>
      </c>
      <c r="H80">
        <v>43328</v>
      </c>
      <c r="I80" s="6">
        <v>43297</v>
      </c>
      <c r="J80">
        <v>8</v>
      </c>
      <c r="K80" t="s">
        <v>235</v>
      </c>
      <c r="L80" t="s">
        <v>85</v>
      </c>
      <c r="M80">
        <v>4</v>
      </c>
      <c r="N80" t="s">
        <v>1060</v>
      </c>
      <c r="O80" t="s">
        <v>1076</v>
      </c>
    </row>
    <row r="81" spans="1:15" x14ac:dyDescent="0.25">
      <c r="A81" t="s">
        <v>236</v>
      </c>
      <c r="B81" t="s">
        <v>514</v>
      </c>
      <c r="C81" t="s">
        <v>375</v>
      </c>
      <c r="D81" t="s">
        <v>23</v>
      </c>
      <c r="E81">
        <v>41</v>
      </c>
      <c r="F81" t="s">
        <v>133</v>
      </c>
      <c r="G81" t="s">
        <v>2</v>
      </c>
      <c r="H81">
        <v>79989</v>
      </c>
      <c r="I81" s="6"/>
      <c r="K81" t="s">
        <v>237</v>
      </c>
      <c r="L81" t="s">
        <v>39</v>
      </c>
      <c r="M81">
        <v>3</v>
      </c>
      <c r="N81" t="s">
        <v>1062</v>
      </c>
      <c r="O81" t="s">
        <v>1077</v>
      </c>
    </row>
    <row r="82" spans="1:15" x14ac:dyDescent="0.25">
      <c r="A82" t="s">
        <v>238</v>
      </c>
      <c r="B82" t="s">
        <v>6</v>
      </c>
      <c r="C82" t="s">
        <v>287</v>
      </c>
      <c r="D82" t="s">
        <v>23</v>
      </c>
      <c r="E82">
        <v>51</v>
      </c>
      <c r="F82" t="s">
        <v>32</v>
      </c>
      <c r="G82" t="s">
        <v>17</v>
      </c>
      <c r="H82">
        <v>77809.739999999991</v>
      </c>
      <c r="I82" s="6">
        <v>38652</v>
      </c>
      <c r="J82">
        <v>20</v>
      </c>
      <c r="K82" t="s">
        <v>239</v>
      </c>
      <c r="L82" t="s">
        <v>19</v>
      </c>
      <c r="M82">
        <v>4</v>
      </c>
      <c r="N82" t="s">
        <v>1064</v>
      </c>
      <c r="O82" t="s">
        <v>1077</v>
      </c>
    </row>
    <row r="83" spans="1:15" x14ac:dyDescent="0.25">
      <c r="A83" t="s">
        <v>240</v>
      </c>
      <c r="B83" t="s">
        <v>56</v>
      </c>
      <c r="C83" t="s">
        <v>562</v>
      </c>
      <c r="D83" t="s">
        <v>8</v>
      </c>
      <c r="E83">
        <v>44</v>
      </c>
      <c r="F83" t="s">
        <v>154</v>
      </c>
      <c r="G83" t="s">
        <v>17</v>
      </c>
      <c r="H83">
        <v>41428</v>
      </c>
      <c r="I83" s="6">
        <v>43872</v>
      </c>
      <c r="J83">
        <v>6</v>
      </c>
      <c r="K83" t="s">
        <v>241</v>
      </c>
      <c r="L83" t="s">
        <v>4</v>
      </c>
      <c r="M83">
        <v>1</v>
      </c>
      <c r="N83" t="s">
        <v>1062</v>
      </c>
      <c r="O83" t="s">
        <v>1076</v>
      </c>
    </row>
    <row r="84" spans="1:15" x14ac:dyDescent="0.25">
      <c r="A84" t="s">
        <v>242</v>
      </c>
      <c r="B84" t="s">
        <v>62</v>
      </c>
      <c r="C84" t="s">
        <v>222</v>
      </c>
      <c r="D84" t="s">
        <v>23</v>
      </c>
      <c r="E84">
        <v>41</v>
      </c>
      <c r="F84" t="s">
        <v>203</v>
      </c>
      <c r="G84" t="s">
        <v>37</v>
      </c>
      <c r="H84">
        <v>64240</v>
      </c>
      <c r="I84" s="6">
        <v>45414</v>
      </c>
      <c r="J84">
        <v>2</v>
      </c>
      <c r="K84" t="s">
        <v>243</v>
      </c>
      <c r="L84" t="s">
        <v>39</v>
      </c>
      <c r="M84">
        <v>5</v>
      </c>
      <c r="N84" t="s">
        <v>1062</v>
      </c>
      <c r="O84" t="s">
        <v>1077</v>
      </c>
    </row>
    <row r="85" spans="1:15" x14ac:dyDescent="0.25">
      <c r="A85" t="s">
        <v>244</v>
      </c>
      <c r="B85" t="s">
        <v>132</v>
      </c>
      <c r="C85" t="s">
        <v>589</v>
      </c>
      <c r="D85" t="s">
        <v>1</v>
      </c>
      <c r="E85">
        <v>27</v>
      </c>
      <c r="F85" t="s">
        <v>133</v>
      </c>
      <c r="G85" t="s">
        <v>17</v>
      </c>
      <c r="H85">
        <v>56544</v>
      </c>
      <c r="I85" s="6">
        <v>44053</v>
      </c>
      <c r="J85">
        <v>6</v>
      </c>
      <c r="K85" t="s">
        <v>27</v>
      </c>
      <c r="L85" t="s">
        <v>85</v>
      </c>
      <c r="M85">
        <v>4</v>
      </c>
      <c r="N85" t="s">
        <v>1075</v>
      </c>
      <c r="O85" t="s">
        <v>1077</v>
      </c>
    </row>
    <row r="86" spans="1:15" x14ac:dyDescent="0.25">
      <c r="A86" t="s">
        <v>245</v>
      </c>
      <c r="B86" t="s">
        <v>6</v>
      </c>
      <c r="C86" t="s">
        <v>287</v>
      </c>
      <c r="D86" t="s">
        <v>1</v>
      </c>
      <c r="E86">
        <v>40</v>
      </c>
      <c r="F86" t="s">
        <v>36</v>
      </c>
      <c r="G86" t="s">
        <v>216</v>
      </c>
      <c r="H86">
        <v>209892</v>
      </c>
      <c r="I86" s="6">
        <v>42239</v>
      </c>
      <c r="J86">
        <v>11</v>
      </c>
      <c r="K86" t="s">
        <v>239</v>
      </c>
      <c r="L86" t="s">
        <v>107</v>
      </c>
      <c r="M86">
        <v>3</v>
      </c>
      <c r="N86" t="s">
        <v>1061</v>
      </c>
      <c r="O86" t="s">
        <v>1079</v>
      </c>
    </row>
    <row r="87" spans="1:15" x14ac:dyDescent="0.25">
      <c r="A87" t="s">
        <v>246</v>
      </c>
      <c r="B87" t="s">
        <v>21</v>
      </c>
      <c r="C87" t="s">
        <v>7</v>
      </c>
      <c r="D87" t="s">
        <v>23</v>
      </c>
      <c r="E87">
        <v>37</v>
      </c>
      <c r="F87" t="s">
        <v>295</v>
      </c>
      <c r="G87" t="s">
        <v>44</v>
      </c>
      <c r="H87">
        <v>72914</v>
      </c>
      <c r="I87" s="6">
        <v>43836</v>
      </c>
      <c r="J87">
        <v>6</v>
      </c>
      <c r="K87" t="s">
        <v>247</v>
      </c>
      <c r="L87" t="s">
        <v>49</v>
      </c>
      <c r="M87">
        <v>3</v>
      </c>
      <c r="N87" t="s">
        <v>1061</v>
      </c>
      <c r="O87" t="s">
        <v>1077</v>
      </c>
    </row>
    <row r="88" spans="1:15" x14ac:dyDescent="0.25">
      <c r="A88" t="s">
        <v>248</v>
      </c>
      <c r="B88" t="s">
        <v>184</v>
      </c>
      <c r="C88" t="s">
        <v>287</v>
      </c>
      <c r="D88" t="s">
        <v>23</v>
      </c>
      <c r="E88">
        <v>53</v>
      </c>
      <c r="F88" t="s">
        <v>133</v>
      </c>
      <c r="G88" t="s">
        <v>17</v>
      </c>
      <c r="H88">
        <v>56299</v>
      </c>
      <c r="I88" s="6">
        <v>39748</v>
      </c>
      <c r="J88">
        <v>17</v>
      </c>
      <c r="K88" t="s">
        <v>249</v>
      </c>
      <c r="L88" t="s">
        <v>28</v>
      </c>
      <c r="M88">
        <v>3</v>
      </c>
      <c r="N88" t="s">
        <v>1064</v>
      </c>
      <c r="O88" t="s">
        <v>1077</v>
      </c>
    </row>
    <row r="89" spans="1:15" x14ac:dyDescent="0.25">
      <c r="A89" t="s">
        <v>250</v>
      </c>
      <c r="B89" t="s">
        <v>355</v>
      </c>
      <c r="C89" t="s">
        <v>356</v>
      </c>
      <c r="D89" t="s">
        <v>8</v>
      </c>
      <c r="E89">
        <v>46</v>
      </c>
      <c r="F89" t="s">
        <v>142</v>
      </c>
      <c r="G89" t="s">
        <v>100</v>
      </c>
      <c r="H89">
        <v>49501</v>
      </c>
      <c r="I89" s="6"/>
      <c r="K89" t="s">
        <v>251</v>
      </c>
      <c r="L89" t="s">
        <v>107</v>
      </c>
      <c r="M89">
        <v>3</v>
      </c>
      <c r="N89" t="s">
        <v>1063</v>
      </c>
      <c r="O89" t="s">
        <v>1076</v>
      </c>
    </row>
    <row r="90" spans="1:15" x14ac:dyDescent="0.25">
      <c r="A90" t="s">
        <v>252</v>
      </c>
      <c r="B90" t="s">
        <v>21</v>
      </c>
      <c r="C90" t="s">
        <v>169</v>
      </c>
      <c r="D90" t="s">
        <v>23</v>
      </c>
      <c r="E90">
        <v>49</v>
      </c>
      <c r="F90" t="s">
        <v>313</v>
      </c>
      <c r="G90" t="s">
        <v>37</v>
      </c>
      <c r="H90">
        <v>97252.5</v>
      </c>
      <c r="I90" s="6">
        <v>41072</v>
      </c>
      <c r="J90">
        <v>14</v>
      </c>
      <c r="K90" t="s">
        <v>253</v>
      </c>
      <c r="L90" t="s">
        <v>11</v>
      </c>
      <c r="M90">
        <v>1</v>
      </c>
      <c r="N90" t="s">
        <v>1063</v>
      </c>
      <c r="O90" t="s">
        <v>1077</v>
      </c>
    </row>
    <row r="91" spans="1:15" x14ac:dyDescent="0.25">
      <c r="A91" t="s">
        <v>254</v>
      </c>
      <c r="B91" t="s">
        <v>30</v>
      </c>
      <c r="C91" t="s">
        <v>215</v>
      </c>
      <c r="D91" t="s">
        <v>1</v>
      </c>
      <c r="E91">
        <v>46</v>
      </c>
      <c r="F91" t="s">
        <v>32</v>
      </c>
      <c r="G91" t="s">
        <v>63</v>
      </c>
      <c r="H91">
        <v>88025</v>
      </c>
      <c r="I91" s="6">
        <v>38489</v>
      </c>
      <c r="J91">
        <v>21</v>
      </c>
      <c r="K91" t="s">
        <v>255</v>
      </c>
      <c r="L91" t="s">
        <v>65</v>
      </c>
      <c r="M91">
        <v>3</v>
      </c>
      <c r="N91" t="s">
        <v>1063</v>
      </c>
      <c r="O91" t="s">
        <v>1077</v>
      </c>
    </row>
    <row r="92" spans="1:15" x14ac:dyDescent="0.25">
      <c r="A92" t="s">
        <v>256</v>
      </c>
      <c r="B92" t="s">
        <v>16</v>
      </c>
      <c r="C92" t="s">
        <v>427</v>
      </c>
      <c r="D92" t="s">
        <v>8</v>
      </c>
      <c r="E92">
        <v>57</v>
      </c>
      <c r="F92" t="s">
        <v>313</v>
      </c>
      <c r="G92" t="s">
        <v>2</v>
      </c>
      <c r="H92">
        <v>120948</v>
      </c>
      <c r="I92" s="6">
        <v>41716</v>
      </c>
      <c r="J92">
        <v>12</v>
      </c>
      <c r="K92" t="s">
        <v>257</v>
      </c>
      <c r="L92" t="s">
        <v>14</v>
      </c>
      <c r="M92">
        <v>3</v>
      </c>
      <c r="N92" t="s">
        <v>1065</v>
      </c>
      <c r="O92" t="s">
        <v>1074</v>
      </c>
    </row>
    <row r="93" spans="1:15" x14ac:dyDescent="0.25">
      <c r="A93" t="s">
        <v>258</v>
      </c>
      <c r="B93" t="s">
        <v>221</v>
      </c>
      <c r="C93" t="s">
        <v>589</v>
      </c>
      <c r="D93" t="s">
        <v>23</v>
      </c>
      <c r="E93">
        <v>45</v>
      </c>
      <c r="F93" t="s">
        <v>133</v>
      </c>
      <c r="G93" t="s">
        <v>2</v>
      </c>
      <c r="H93">
        <v>77596</v>
      </c>
      <c r="I93" s="6">
        <v>41259</v>
      </c>
      <c r="J93">
        <v>13</v>
      </c>
      <c r="K93" t="s">
        <v>259</v>
      </c>
      <c r="L93" t="s">
        <v>85</v>
      </c>
      <c r="M93">
        <v>5</v>
      </c>
      <c r="N93" t="s">
        <v>1062</v>
      </c>
      <c r="O93" t="s">
        <v>1077</v>
      </c>
    </row>
    <row r="94" spans="1:15" x14ac:dyDescent="0.25">
      <c r="A94" t="s">
        <v>260</v>
      </c>
      <c r="B94" t="s">
        <v>374</v>
      </c>
      <c r="C94" t="s">
        <v>118</v>
      </c>
      <c r="D94" t="s">
        <v>8</v>
      </c>
      <c r="E94">
        <v>58</v>
      </c>
      <c r="F94" t="s">
        <v>295</v>
      </c>
      <c r="G94" t="s">
        <v>63</v>
      </c>
      <c r="H94">
        <v>86146</v>
      </c>
      <c r="I94" s="6">
        <v>38657</v>
      </c>
      <c r="J94">
        <v>20</v>
      </c>
      <c r="K94" t="s">
        <v>261</v>
      </c>
      <c r="L94" t="s">
        <v>25</v>
      </c>
      <c r="M94">
        <v>5</v>
      </c>
      <c r="N94" t="s">
        <v>1065</v>
      </c>
      <c r="O94" t="s">
        <v>1077</v>
      </c>
    </row>
    <row r="95" spans="1:15" x14ac:dyDescent="0.25">
      <c r="A95" t="s">
        <v>262</v>
      </c>
      <c r="B95" t="s">
        <v>99</v>
      </c>
      <c r="C95" t="s">
        <v>263</v>
      </c>
      <c r="D95" t="s">
        <v>23</v>
      </c>
      <c r="E95">
        <v>33</v>
      </c>
      <c r="F95" t="s">
        <v>9</v>
      </c>
      <c r="G95" t="s">
        <v>2</v>
      </c>
      <c r="H95">
        <v>135726</v>
      </c>
      <c r="I95" s="6">
        <v>41963</v>
      </c>
      <c r="J95">
        <v>11</v>
      </c>
      <c r="K95" t="s">
        <v>264</v>
      </c>
      <c r="L95" t="s">
        <v>54</v>
      </c>
      <c r="M95">
        <v>5</v>
      </c>
      <c r="N95" t="s">
        <v>1060</v>
      </c>
      <c r="O95" t="s">
        <v>1074</v>
      </c>
    </row>
    <row r="96" spans="1:15" x14ac:dyDescent="0.25">
      <c r="A96" t="s">
        <v>265</v>
      </c>
      <c r="B96" t="s">
        <v>87</v>
      </c>
      <c r="C96" t="s">
        <v>141</v>
      </c>
      <c r="D96" t="s">
        <v>23</v>
      </c>
      <c r="E96">
        <v>55</v>
      </c>
      <c r="F96" t="s">
        <v>154</v>
      </c>
      <c r="G96" t="s">
        <v>63</v>
      </c>
      <c r="H96">
        <v>44154</v>
      </c>
      <c r="I96" s="6">
        <v>38999</v>
      </c>
      <c r="J96">
        <v>20</v>
      </c>
      <c r="K96" t="s">
        <v>266</v>
      </c>
      <c r="L96" t="s">
        <v>120</v>
      </c>
      <c r="M96">
        <v>5</v>
      </c>
      <c r="N96" t="s">
        <v>1064</v>
      </c>
      <c r="O96" t="s">
        <v>1076</v>
      </c>
    </row>
    <row r="97" spans="1:15" x14ac:dyDescent="0.25">
      <c r="A97" t="s">
        <v>267</v>
      </c>
      <c r="B97" t="s">
        <v>268</v>
      </c>
      <c r="C97" t="s">
        <v>269</v>
      </c>
      <c r="D97" t="s">
        <v>23</v>
      </c>
      <c r="E97">
        <v>50</v>
      </c>
      <c r="F97" t="s">
        <v>203</v>
      </c>
      <c r="G97" t="s">
        <v>216</v>
      </c>
      <c r="H97">
        <v>143601</v>
      </c>
      <c r="I97" s="6">
        <v>38467</v>
      </c>
      <c r="J97">
        <v>21</v>
      </c>
      <c r="K97" t="s">
        <v>270</v>
      </c>
      <c r="L97" t="s">
        <v>120</v>
      </c>
      <c r="M97">
        <v>4</v>
      </c>
      <c r="N97" t="s">
        <v>1063</v>
      </c>
      <c r="O97" t="s">
        <v>1074</v>
      </c>
    </row>
    <row r="98" spans="1:15" x14ac:dyDescent="0.25">
      <c r="A98" t="s">
        <v>271</v>
      </c>
      <c r="B98" t="s">
        <v>268</v>
      </c>
      <c r="C98" t="s">
        <v>83</v>
      </c>
      <c r="D98" t="s">
        <v>23</v>
      </c>
      <c r="E98">
        <v>51</v>
      </c>
      <c r="F98" t="s">
        <v>203</v>
      </c>
      <c r="G98" t="s">
        <v>44</v>
      </c>
      <c r="H98">
        <v>41193</v>
      </c>
      <c r="I98" s="6">
        <v>40940</v>
      </c>
      <c r="J98">
        <v>14</v>
      </c>
      <c r="K98" t="s">
        <v>272</v>
      </c>
      <c r="L98" t="s">
        <v>65</v>
      </c>
      <c r="M98">
        <v>4</v>
      </c>
      <c r="N98" t="s">
        <v>1064</v>
      </c>
      <c r="O98" t="s">
        <v>1076</v>
      </c>
    </row>
    <row r="99" spans="1:15" x14ac:dyDescent="0.25">
      <c r="A99" t="s">
        <v>273</v>
      </c>
      <c r="B99" t="s">
        <v>62</v>
      </c>
      <c r="C99" t="s">
        <v>589</v>
      </c>
      <c r="D99" t="s">
        <v>8</v>
      </c>
      <c r="E99">
        <v>49</v>
      </c>
      <c r="F99" t="s">
        <v>133</v>
      </c>
      <c r="G99" t="s">
        <v>2</v>
      </c>
      <c r="H99">
        <v>79859</v>
      </c>
      <c r="I99" s="6">
        <v>39696</v>
      </c>
      <c r="J99">
        <v>18</v>
      </c>
      <c r="K99" t="s">
        <v>274</v>
      </c>
      <c r="L99" t="s">
        <v>28</v>
      </c>
      <c r="M99">
        <v>4</v>
      </c>
      <c r="N99" t="s">
        <v>1063</v>
      </c>
      <c r="O99" t="s">
        <v>1077</v>
      </c>
    </row>
    <row r="100" spans="1:15" x14ac:dyDescent="0.25">
      <c r="A100" t="s">
        <v>275</v>
      </c>
      <c r="B100" t="s">
        <v>268</v>
      </c>
      <c r="C100" t="s">
        <v>76</v>
      </c>
      <c r="D100" t="s">
        <v>23</v>
      </c>
      <c r="E100">
        <v>30</v>
      </c>
      <c r="F100" t="s">
        <v>181</v>
      </c>
      <c r="G100" t="s">
        <v>17</v>
      </c>
      <c r="H100">
        <v>52980</v>
      </c>
      <c r="I100" s="6"/>
      <c r="K100" t="s">
        <v>276</v>
      </c>
      <c r="L100" t="s">
        <v>39</v>
      </c>
      <c r="M100">
        <v>5</v>
      </c>
      <c r="N100" t="s">
        <v>1075</v>
      </c>
      <c r="O100" t="s">
        <v>1077</v>
      </c>
    </row>
    <row r="101" spans="1:15" x14ac:dyDescent="0.25">
      <c r="A101" t="s">
        <v>277</v>
      </c>
      <c r="B101" t="s">
        <v>47</v>
      </c>
      <c r="C101" t="s">
        <v>76</v>
      </c>
      <c r="D101" t="s">
        <v>23</v>
      </c>
      <c r="E101">
        <v>44</v>
      </c>
      <c r="F101" t="s">
        <v>181</v>
      </c>
      <c r="G101" t="s">
        <v>37</v>
      </c>
      <c r="H101">
        <v>55096</v>
      </c>
      <c r="I101" s="6">
        <v>38590</v>
      </c>
      <c r="J101">
        <v>21</v>
      </c>
      <c r="K101" t="s">
        <v>278</v>
      </c>
      <c r="L101" t="s">
        <v>120</v>
      </c>
      <c r="M101">
        <v>3</v>
      </c>
      <c r="N101" t="s">
        <v>1062</v>
      </c>
      <c r="O101" t="s">
        <v>1077</v>
      </c>
    </row>
    <row r="102" spans="1:15" x14ac:dyDescent="0.25">
      <c r="A102" t="s">
        <v>279</v>
      </c>
      <c r="B102" t="s">
        <v>16</v>
      </c>
      <c r="C102" t="s">
        <v>169</v>
      </c>
      <c r="D102" t="s">
        <v>8</v>
      </c>
      <c r="E102">
        <v>43</v>
      </c>
      <c r="F102" t="s">
        <v>133</v>
      </c>
      <c r="G102" t="s">
        <v>44</v>
      </c>
      <c r="H102">
        <v>49534</v>
      </c>
      <c r="I102" s="6">
        <v>43917</v>
      </c>
      <c r="J102">
        <v>6</v>
      </c>
      <c r="K102" t="s">
        <v>280</v>
      </c>
      <c r="L102" t="s">
        <v>65</v>
      </c>
      <c r="M102">
        <v>4</v>
      </c>
      <c r="N102" t="s">
        <v>1062</v>
      </c>
      <c r="O102" t="s">
        <v>1076</v>
      </c>
    </row>
    <row r="103" spans="1:15" x14ac:dyDescent="0.25">
      <c r="A103" t="s">
        <v>281</v>
      </c>
      <c r="B103" t="s">
        <v>282</v>
      </c>
      <c r="C103" t="s">
        <v>375</v>
      </c>
      <c r="D103" t="s">
        <v>1</v>
      </c>
      <c r="E103">
        <v>55</v>
      </c>
      <c r="F103" t="s">
        <v>32</v>
      </c>
      <c r="G103" t="s">
        <v>161</v>
      </c>
      <c r="H103">
        <v>167996</v>
      </c>
      <c r="I103" s="6">
        <v>45191</v>
      </c>
      <c r="J103">
        <v>3</v>
      </c>
      <c r="K103" t="s">
        <v>283</v>
      </c>
      <c r="L103" t="s">
        <v>120</v>
      </c>
      <c r="M103">
        <v>3</v>
      </c>
      <c r="N103" t="s">
        <v>1064</v>
      </c>
      <c r="O103" t="s">
        <v>1078</v>
      </c>
    </row>
    <row r="104" spans="1:15" x14ac:dyDescent="0.25">
      <c r="A104" t="s">
        <v>284</v>
      </c>
      <c r="B104" t="s">
        <v>282</v>
      </c>
      <c r="C104" t="s">
        <v>80</v>
      </c>
      <c r="D104" t="s">
        <v>8</v>
      </c>
      <c r="E104">
        <v>35</v>
      </c>
      <c r="F104" t="s">
        <v>181</v>
      </c>
      <c r="G104" t="s">
        <v>63</v>
      </c>
      <c r="H104">
        <v>61524</v>
      </c>
      <c r="I104" s="6">
        <v>43599</v>
      </c>
      <c r="J104">
        <v>7</v>
      </c>
      <c r="K104" t="s">
        <v>285</v>
      </c>
      <c r="L104" t="s">
        <v>54</v>
      </c>
      <c r="M104">
        <v>3</v>
      </c>
      <c r="N104" t="s">
        <v>1060</v>
      </c>
      <c r="O104" t="s">
        <v>1077</v>
      </c>
    </row>
    <row r="105" spans="1:15" x14ac:dyDescent="0.25">
      <c r="A105" t="s">
        <v>286</v>
      </c>
      <c r="B105" t="s">
        <v>321</v>
      </c>
      <c r="C105" t="s">
        <v>287</v>
      </c>
      <c r="D105" t="s">
        <v>23</v>
      </c>
      <c r="E105">
        <v>44</v>
      </c>
      <c r="F105" t="s">
        <v>133</v>
      </c>
      <c r="G105" t="s">
        <v>2</v>
      </c>
      <c r="H105">
        <v>88329.82</v>
      </c>
      <c r="I105" s="6">
        <v>41376</v>
      </c>
      <c r="J105">
        <v>13</v>
      </c>
      <c r="K105" t="s">
        <v>288</v>
      </c>
      <c r="L105" t="s">
        <v>19</v>
      </c>
      <c r="M105">
        <v>2</v>
      </c>
      <c r="N105" t="s">
        <v>1062</v>
      </c>
      <c r="O105" t="s">
        <v>1077</v>
      </c>
    </row>
    <row r="106" spans="1:15" x14ac:dyDescent="0.25">
      <c r="A106" t="s">
        <v>289</v>
      </c>
      <c r="B106" t="s">
        <v>290</v>
      </c>
      <c r="C106" t="s">
        <v>291</v>
      </c>
      <c r="D106" t="s">
        <v>8</v>
      </c>
      <c r="E106">
        <v>56</v>
      </c>
      <c r="F106" t="s">
        <v>36</v>
      </c>
      <c r="G106" t="s">
        <v>37</v>
      </c>
      <c r="H106">
        <v>98330</v>
      </c>
      <c r="I106" s="6">
        <v>38391</v>
      </c>
      <c r="J106">
        <v>21</v>
      </c>
      <c r="K106" t="s">
        <v>201</v>
      </c>
      <c r="L106" t="s">
        <v>207</v>
      </c>
      <c r="M106">
        <v>4</v>
      </c>
      <c r="N106" t="s">
        <v>1065</v>
      </c>
      <c r="O106" t="s">
        <v>1077</v>
      </c>
    </row>
    <row r="107" spans="1:15" x14ac:dyDescent="0.25">
      <c r="A107" t="s">
        <v>292</v>
      </c>
      <c r="B107" t="s">
        <v>43</v>
      </c>
      <c r="C107" t="s">
        <v>308</v>
      </c>
      <c r="D107" t="s">
        <v>1</v>
      </c>
      <c r="E107">
        <v>36</v>
      </c>
      <c r="F107" t="s">
        <v>142</v>
      </c>
      <c r="G107" t="s">
        <v>44</v>
      </c>
      <c r="H107">
        <v>48327</v>
      </c>
      <c r="I107" s="6">
        <v>41434</v>
      </c>
      <c r="J107">
        <v>13</v>
      </c>
      <c r="K107" t="s">
        <v>293</v>
      </c>
      <c r="L107" t="s">
        <v>107</v>
      </c>
      <c r="M107">
        <v>2</v>
      </c>
      <c r="N107" t="s">
        <v>1061</v>
      </c>
      <c r="O107" t="s">
        <v>1076</v>
      </c>
    </row>
    <row r="108" spans="1:15" x14ac:dyDescent="0.25">
      <c r="A108" t="s">
        <v>294</v>
      </c>
      <c r="B108" t="s">
        <v>47</v>
      </c>
      <c r="C108" t="s">
        <v>68</v>
      </c>
      <c r="D108" t="s">
        <v>1</v>
      </c>
      <c r="E108">
        <v>46</v>
      </c>
      <c r="F108" t="s">
        <v>295</v>
      </c>
      <c r="G108" t="s">
        <v>37</v>
      </c>
      <c r="H108">
        <v>81920</v>
      </c>
      <c r="I108" s="6"/>
      <c r="K108" t="s">
        <v>296</v>
      </c>
      <c r="L108" t="s">
        <v>65</v>
      </c>
      <c r="M108">
        <v>3</v>
      </c>
      <c r="N108" t="s">
        <v>1063</v>
      </c>
      <c r="O108" t="s">
        <v>1077</v>
      </c>
    </row>
    <row r="109" spans="1:15" x14ac:dyDescent="0.25">
      <c r="A109" t="s">
        <v>297</v>
      </c>
      <c r="B109" t="s">
        <v>62</v>
      </c>
      <c r="C109" t="s">
        <v>83</v>
      </c>
      <c r="D109" t="s">
        <v>8</v>
      </c>
      <c r="E109">
        <v>43</v>
      </c>
      <c r="F109" t="s">
        <v>154</v>
      </c>
      <c r="G109" t="s">
        <v>17</v>
      </c>
      <c r="H109">
        <v>40792</v>
      </c>
      <c r="I109" s="6">
        <v>41616</v>
      </c>
      <c r="J109">
        <v>12</v>
      </c>
      <c r="K109" t="s">
        <v>298</v>
      </c>
      <c r="L109" t="s">
        <v>39</v>
      </c>
      <c r="M109">
        <v>5</v>
      </c>
      <c r="N109" t="s">
        <v>1062</v>
      </c>
      <c r="O109" t="s">
        <v>1076</v>
      </c>
    </row>
    <row r="110" spans="1:15" x14ac:dyDescent="0.25">
      <c r="A110" t="s">
        <v>299</v>
      </c>
      <c r="B110" t="s">
        <v>290</v>
      </c>
      <c r="C110" t="s">
        <v>68</v>
      </c>
      <c r="D110" t="s">
        <v>8</v>
      </c>
      <c r="E110">
        <v>46</v>
      </c>
      <c r="F110" t="s">
        <v>36</v>
      </c>
      <c r="G110" t="s">
        <v>44</v>
      </c>
      <c r="H110">
        <v>82760</v>
      </c>
      <c r="I110" s="6"/>
      <c r="K110" t="s">
        <v>300</v>
      </c>
      <c r="L110" t="s">
        <v>28</v>
      </c>
      <c r="M110">
        <v>4</v>
      </c>
      <c r="N110" t="s">
        <v>1063</v>
      </c>
      <c r="O110" t="s">
        <v>1077</v>
      </c>
    </row>
    <row r="111" spans="1:15" x14ac:dyDescent="0.25">
      <c r="A111" t="s">
        <v>301</v>
      </c>
      <c r="B111" t="s">
        <v>184</v>
      </c>
      <c r="C111" t="s">
        <v>83</v>
      </c>
      <c r="D111" t="s">
        <v>1</v>
      </c>
      <c r="E111">
        <v>27</v>
      </c>
      <c r="F111" t="s">
        <v>313</v>
      </c>
      <c r="G111" t="s">
        <v>37</v>
      </c>
      <c r="H111">
        <v>113334</v>
      </c>
      <c r="I111" s="6">
        <v>44200</v>
      </c>
      <c r="J111">
        <v>5</v>
      </c>
      <c r="K111" t="s">
        <v>302</v>
      </c>
      <c r="L111" t="s">
        <v>85</v>
      </c>
      <c r="M111">
        <v>4</v>
      </c>
      <c r="N111" t="s">
        <v>1075</v>
      </c>
      <c r="O111" t="s">
        <v>1074</v>
      </c>
    </row>
    <row r="112" spans="1:15" x14ac:dyDescent="0.25">
      <c r="A112" t="s">
        <v>303</v>
      </c>
      <c r="B112" t="s">
        <v>316</v>
      </c>
      <c r="C112" t="s">
        <v>35</v>
      </c>
      <c r="D112" t="s">
        <v>1</v>
      </c>
      <c r="E112">
        <v>34</v>
      </c>
      <c r="F112" t="s">
        <v>36</v>
      </c>
      <c r="G112" t="s">
        <v>161</v>
      </c>
      <c r="H112">
        <v>212102</v>
      </c>
      <c r="I112" s="6">
        <v>45594</v>
      </c>
      <c r="J112">
        <v>1</v>
      </c>
      <c r="K112" t="s">
        <v>304</v>
      </c>
      <c r="L112" t="s">
        <v>107</v>
      </c>
      <c r="M112">
        <v>3</v>
      </c>
      <c r="N112" t="s">
        <v>1060</v>
      </c>
      <c r="O112" t="s">
        <v>1079</v>
      </c>
    </row>
    <row r="113" spans="1:15" x14ac:dyDescent="0.25">
      <c r="A113" t="s">
        <v>305</v>
      </c>
      <c r="B113" t="s">
        <v>79</v>
      </c>
      <c r="C113" t="s">
        <v>91</v>
      </c>
      <c r="D113" t="s">
        <v>1</v>
      </c>
      <c r="E113">
        <v>34</v>
      </c>
      <c r="F113" t="s">
        <v>133</v>
      </c>
      <c r="G113" t="s">
        <v>44</v>
      </c>
      <c r="H113">
        <v>54410.03</v>
      </c>
      <c r="I113" s="6">
        <v>41671</v>
      </c>
      <c r="J113">
        <v>12</v>
      </c>
      <c r="K113" t="s">
        <v>306</v>
      </c>
      <c r="L113" t="s">
        <v>85</v>
      </c>
      <c r="M113">
        <v>4</v>
      </c>
      <c r="N113" t="s">
        <v>1060</v>
      </c>
      <c r="O113" t="s">
        <v>1077</v>
      </c>
    </row>
    <row r="114" spans="1:15" x14ac:dyDescent="0.25">
      <c r="A114" t="s">
        <v>307</v>
      </c>
      <c r="B114" t="s">
        <v>334</v>
      </c>
      <c r="C114" t="s">
        <v>308</v>
      </c>
      <c r="D114" t="s">
        <v>8</v>
      </c>
      <c r="E114">
        <v>32</v>
      </c>
      <c r="F114" t="s">
        <v>36</v>
      </c>
      <c r="G114" t="s">
        <v>37</v>
      </c>
      <c r="H114">
        <v>98373</v>
      </c>
      <c r="I114" s="6">
        <v>45373</v>
      </c>
      <c r="J114">
        <v>2</v>
      </c>
      <c r="K114" t="s">
        <v>309</v>
      </c>
      <c r="L114" t="s">
        <v>39</v>
      </c>
      <c r="M114">
        <v>4</v>
      </c>
      <c r="N114" t="s">
        <v>1060</v>
      </c>
      <c r="O114" t="s">
        <v>1077</v>
      </c>
    </row>
    <row r="115" spans="1:15" x14ac:dyDescent="0.25">
      <c r="A115" t="s">
        <v>310</v>
      </c>
      <c r="B115" t="s">
        <v>103</v>
      </c>
      <c r="C115" t="s">
        <v>485</v>
      </c>
      <c r="D115" t="s">
        <v>1</v>
      </c>
      <c r="E115">
        <v>47</v>
      </c>
      <c r="F115" t="s">
        <v>133</v>
      </c>
      <c r="G115" t="s">
        <v>216</v>
      </c>
      <c r="H115">
        <v>158804</v>
      </c>
      <c r="I115" s="6">
        <v>39459</v>
      </c>
      <c r="J115">
        <v>18</v>
      </c>
      <c r="K115" t="s">
        <v>311</v>
      </c>
      <c r="L115" t="s">
        <v>25</v>
      </c>
      <c r="M115">
        <v>1</v>
      </c>
      <c r="N115" t="s">
        <v>1063</v>
      </c>
      <c r="O115" t="s">
        <v>1078</v>
      </c>
    </row>
    <row r="116" spans="1:15" x14ac:dyDescent="0.25">
      <c r="A116" t="s">
        <v>312</v>
      </c>
      <c r="B116" t="s">
        <v>56</v>
      </c>
      <c r="C116" t="s">
        <v>31</v>
      </c>
      <c r="D116" t="s">
        <v>23</v>
      </c>
      <c r="E116">
        <v>54</v>
      </c>
      <c r="F116" t="s">
        <v>313</v>
      </c>
      <c r="G116" t="s">
        <v>17</v>
      </c>
      <c r="H116">
        <v>83971</v>
      </c>
      <c r="I116" s="6">
        <v>39937</v>
      </c>
      <c r="J116">
        <v>17</v>
      </c>
      <c r="K116" t="s">
        <v>314</v>
      </c>
      <c r="L116" t="s">
        <v>14</v>
      </c>
      <c r="M116">
        <v>2</v>
      </c>
      <c r="N116" t="s">
        <v>1064</v>
      </c>
      <c r="O116" t="s">
        <v>1077</v>
      </c>
    </row>
    <row r="117" spans="1:15" x14ac:dyDescent="0.25">
      <c r="A117" t="s">
        <v>315</v>
      </c>
      <c r="B117" t="s">
        <v>316</v>
      </c>
      <c r="C117" t="s">
        <v>76</v>
      </c>
      <c r="D117" t="s">
        <v>23</v>
      </c>
      <c r="E117">
        <v>47</v>
      </c>
      <c r="F117" t="s">
        <v>203</v>
      </c>
      <c r="G117" t="s">
        <v>63</v>
      </c>
      <c r="H117">
        <v>63904</v>
      </c>
      <c r="I117" s="6">
        <v>39408</v>
      </c>
      <c r="J117">
        <v>18</v>
      </c>
      <c r="K117" t="s">
        <v>317</v>
      </c>
      <c r="L117" t="s">
        <v>207</v>
      </c>
      <c r="M117">
        <v>4</v>
      </c>
      <c r="N117" t="s">
        <v>1063</v>
      </c>
      <c r="O117" t="s">
        <v>1077</v>
      </c>
    </row>
    <row r="118" spans="1:15" x14ac:dyDescent="0.25">
      <c r="A118" t="s">
        <v>318</v>
      </c>
      <c r="B118" t="s">
        <v>378</v>
      </c>
      <c r="C118" t="s">
        <v>269</v>
      </c>
      <c r="D118" t="s">
        <v>23</v>
      </c>
      <c r="E118">
        <v>59</v>
      </c>
      <c r="F118" t="s">
        <v>32</v>
      </c>
      <c r="G118" t="s">
        <v>17</v>
      </c>
      <c r="H118">
        <v>77505.48</v>
      </c>
      <c r="I118" s="6">
        <v>42182</v>
      </c>
      <c r="J118">
        <v>11</v>
      </c>
      <c r="K118" t="s">
        <v>319</v>
      </c>
      <c r="L118" t="s">
        <v>207</v>
      </c>
      <c r="M118">
        <v>4</v>
      </c>
      <c r="N118" t="s">
        <v>1065</v>
      </c>
      <c r="O118" t="s">
        <v>1077</v>
      </c>
    </row>
    <row r="119" spans="1:15" x14ac:dyDescent="0.25">
      <c r="A119" t="s">
        <v>320</v>
      </c>
      <c r="B119" t="s">
        <v>321</v>
      </c>
      <c r="C119" t="s">
        <v>394</v>
      </c>
      <c r="D119" t="s">
        <v>1</v>
      </c>
      <c r="E119">
        <v>37</v>
      </c>
      <c r="F119" t="s">
        <v>142</v>
      </c>
      <c r="G119" t="s">
        <v>37</v>
      </c>
      <c r="H119">
        <v>62930</v>
      </c>
      <c r="I119" s="6">
        <v>41763</v>
      </c>
      <c r="J119">
        <v>12</v>
      </c>
      <c r="K119" t="s">
        <v>322</v>
      </c>
      <c r="L119" t="s">
        <v>54</v>
      </c>
      <c r="M119">
        <v>4</v>
      </c>
      <c r="N119" t="s">
        <v>1061</v>
      </c>
      <c r="O119" t="s">
        <v>1077</v>
      </c>
    </row>
    <row r="120" spans="1:15" x14ac:dyDescent="0.25">
      <c r="A120" t="s">
        <v>323</v>
      </c>
      <c r="B120" t="s">
        <v>127</v>
      </c>
      <c r="C120" t="s">
        <v>76</v>
      </c>
      <c r="D120" t="s">
        <v>8</v>
      </c>
      <c r="E120">
        <v>40</v>
      </c>
      <c r="F120" t="s">
        <v>313</v>
      </c>
      <c r="G120" t="s">
        <v>17</v>
      </c>
      <c r="H120">
        <v>93532.94</v>
      </c>
      <c r="I120" s="6">
        <v>41880</v>
      </c>
      <c r="J120">
        <v>12</v>
      </c>
      <c r="K120" t="s">
        <v>324</v>
      </c>
      <c r="L120" t="s">
        <v>49</v>
      </c>
      <c r="M120">
        <v>5</v>
      </c>
      <c r="N120" t="s">
        <v>1061</v>
      </c>
      <c r="O120" t="s">
        <v>1077</v>
      </c>
    </row>
    <row r="121" spans="1:15" x14ac:dyDescent="0.25">
      <c r="A121" t="s">
        <v>325</v>
      </c>
      <c r="B121" t="s">
        <v>87</v>
      </c>
      <c r="C121" t="s">
        <v>222</v>
      </c>
      <c r="D121" t="s">
        <v>1</v>
      </c>
      <c r="E121">
        <v>43</v>
      </c>
      <c r="F121" t="s">
        <v>313</v>
      </c>
      <c r="G121" t="s">
        <v>105</v>
      </c>
      <c r="H121">
        <v>165895</v>
      </c>
      <c r="I121" s="6">
        <v>39037</v>
      </c>
      <c r="J121">
        <v>19</v>
      </c>
      <c r="K121" t="s">
        <v>326</v>
      </c>
      <c r="L121" t="s">
        <v>207</v>
      </c>
      <c r="M121">
        <v>3</v>
      </c>
      <c r="N121" t="s">
        <v>1062</v>
      </c>
      <c r="O121" t="s">
        <v>1078</v>
      </c>
    </row>
    <row r="122" spans="1:15" x14ac:dyDescent="0.25">
      <c r="A122" t="s">
        <v>327</v>
      </c>
      <c r="B122" t="s">
        <v>624</v>
      </c>
      <c r="C122" t="s">
        <v>308</v>
      </c>
      <c r="D122" t="s">
        <v>8</v>
      </c>
      <c r="E122">
        <v>42</v>
      </c>
      <c r="F122" t="s">
        <v>133</v>
      </c>
      <c r="G122" t="s">
        <v>105</v>
      </c>
      <c r="H122">
        <v>100736</v>
      </c>
      <c r="I122" s="6">
        <v>41267</v>
      </c>
      <c r="J122">
        <v>13</v>
      </c>
      <c r="K122" t="s">
        <v>328</v>
      </c>
      <c r="L122" t="s">
        <v>28</v>
      </c>
      <c r="M122">
        <v>4</v>
      </c>
      <c r="N122" t="s">
        <v>1062</v>
      </c>
      <c r="O122" t="s">
        <v>1074</v>
      </c>
    </row>
    <row r="123" spans="1:15" x14ac:dyDescent="0.25">
      <c r="A123" t="s">
        <v>329</v>
      </c>
      <c r="B123" t="s">
        <v>103</v>
      </c>
      <c r="C123" t="s">
        <v>263</v>
      </c>
      <c r="D123" t="s">
        <v>8</v>
      </c>
      <c r="E123">
        <v>51</v>
      </c>
      <c r="F123" t="s">
        <v>203</v>
      </c>
      <c r="G123" t="s">
        <v>100</v>
      </c>
      <c r="H123">
        <v>44257</v>
      </c>
      <c r="I123" s="6">
        <v>39133</v>
      </c>
      <c r="J123">
        <v>19</v>
      </c>
      <c r="K123" t="s">
        <v>330</v>
      </c>
      <c r="L123" t="s">
        <v>107</v>
      </c>
      <c r="M123">
        <v>2</v>
      </c>
      <c r="N123" t="s">
        <v>1064</v>
      </c>
      <c r="O123" t="s">
        <v>1076</v>
      </c>
    </row>
    <row r="124" spans="1:15" x14ac:dyDescent="0.25">
      <c r="A124" t="s">
        <v>331</v>
      </c>
      <c r="B124" t="s">
        <v>47</v>
      </c>
      <c r="C124" t="s">
        <v>138</v>
      </c>
      <c r="D124" t="s">
        <v>1</v>
      </c>
      <c r="E124">
        <v>40</v>
      </c>
      <c r="F124" t="s">
        <v>32</v>
      </c>
      <c r="G124" t="s">
        <v>17</v>
      </c>
      <c r="H124">
        <v>73422</v>
      </c>
      <c r="I124" s="6">
        <v>43301</v>
      </c>
      <c r="J124">
        <v>8</v>
      </c>
      <c r="K124" t="s">
        <v>332</v>
      </c>
      <c r="L124" t="s">
        <v>14</v>
      </c>
      <c r="M124">
        <v>5</v>
      </c>
      <c r="N124" t="s">
        <v>1061</v>
      </c>
      <c r="O124" t="s">
        <v>1077</v>
      </c>
    </row>
    <row r="125" spans="1:15" x14ac:dyDescent="0.25">
      <c r="A125" t="s">
        <v>333</v>
      </c>
      <c r="B125" t="s">
        <v>334</v>
      </c>
      <c r="C125" t="s">
        <v>91</v>
      </c>
      <c r="D125" t="s">
        <v>1</v>
      </c>
      <c r="E125">
        <v>50</v>
      </c>
      <c r="F125" t="s">
        <v>142</v>
      </c>
      <c r="G125" t="s">
        <v>44</v>
      </c>
      <c r="H125">
        <v>52217.1</v>
      </c>
      <c r="I125" s="6">
        <v>44577</v>
      </c>
      <c r="J125">
        <v>4</v>
      </c>
      <c r="K125" t="s">
        <v>335</v>
      </c>
      <c r="L125" t="s">
        <v>49</v>
      </c>
      <c r="M125">
        <v>3</v>
      </c>
      <c r="N125" t="s">
        <v>1063</v>
      </c>
      <c r="O125" t="s">
        <v>1077</v>
      </c>
    </row>
    <row r="126" spans="1:15" x14ac:dyDescent="0.25">
      <c r="A126" t="s">
        <v>336</v>
      </c>
      <c r="B126" t="s">
        <v>94</v>
      </c>
      <c r="C126" t="s">
        <v>68</v>
      </c>
      <c r="D126" t="s">
        <v>8</v>
      </c>
      <c r="E126">
        <v>55</v>
      </c>
      <c r="F126" t="s">
        <v>313</v>
      </c>
      <c r="G126" t="s">
        <v>161</v>
      </c>
      <c r="H126">
        <v>182419.74</v>
      </c>
      <c r="I126" s="6">
        <v>38813</v>
      </c>
      <c r="J126">
        <v>20</v>
      </c>
      <c r="K126" t="s">
        <v>337</v>
      </c>
      <c r="L126" t="s">
        <v>14</v>
      </c>
      <c r="M126">
        <v>3</v>
      </c>
      <c r="N126" t="s">
        <v>1064</v>
      </c>
      <c r="O126" t="s">
        <v>1078</v>
      </c>
    </row>
    <row r="127" spans="1:15" x14ac:dyDescent="0.25">
      <c r="A127" t="s">
        <v>338</v>
      </c>
      <c r="B127" t="s">
        <v>79</v>
      </c>
      <c r="C127" t="s">
        <v>68</v>
      </c>
      <c r="D127" t="s">
        <v>1</v>
      </c>
      <c r="E127">
        <v>39</v>
      </c>
      <c r="F127" t="s">
        <v>1066</v>
      </c>
      <c r="G127" t="s">
        <v>44</v>
      </c>
      <c r="H127">
        <v>66020</v>
      </c>
      <c r="I127" s="6">
        <v>41198</v>
      </c>
      <c r="J127">
        <v>13</v>
      </c>
      <c r="K127" t="s">
        <v>339</v>
      </c>
      <c r="L127" t="s">
        <v>65</v>
      </c>
      <c r="M127">
        <v>4</v>
      </c>
      <c r="N127" t="s">
        <v>1061</v>
      </c>
      <c r="O127" t="s">
        <v>1077</v>
      </c>
    </row>
    <row r="128" spans="1:15" x14ac:dyDescent="0.25">
      <c r="A128" t="s">
        <v>340</v>
      </c>
      <c r="B128" t="s">
        <v>115</v>
      </c>
      <c r="C128" t="s">
        <v>91</v>
      </c>
      <c r="D128" t="s">
        <v>23</v>
      </c>
      <c r="E128">
        <v>40</v>
      </c>
      <c r="F128" t="s">
        <v>295</v>
      </c>
      <c r="G128" t="s">
        <v>17</v>
      </c>
      <c r="H128">
        <v>62579</v>
      </c>
      <c r="I128" s="6">
        <v>45619</v>
      </c>
      <c r="J128">
        <v>1</v>
      </c>
      <c r="K128" t="s">
        <v>341</v>
      </c>
      <c r="L128" t="s">
        <v>54</v>
      </c>
      <c r="M128">
        <v>5</v>
      </c>
      <c r="N128" t="s">
        <v>1061</v>
      </c>
      <c r="O128" t="s">
        <v>1077</v>
      </c>
    </row>
    <row r="129" spans="1:15" x14ac:dyDescent="0.25">
      <c r="A129" t="s">
        <v>342</v>
      </c>
      <c r="B129" t="s">
        <v>87</v>
      </c>
      <c r="C129" t="s">
        <v>76</v>
      </c>
      <c r="D129" t="s">
        <v>1</v>
      </c>
      <c r="E129">
        <v>30</v>
      </c>
      <c r="F129" t="s">
        <v>181</v>
      </c>
      <c r="G129" t="s">
        <v>17</v>
      </c>
      <c r="H129">
        <v>55331</v>
      </c>
      <c r="I129" s="6">
        <v>42661</v>
      </c>
      <c r="J129">
        <v>9</v>
      </c>
      <c r="K129" t="s">
        <v>343</v>
      </c>
      <c r="L129" t="s">
        <v>54</v>
      </c>
      <c r="M129">
        <v>4</v>
      </c>
      <c r="N129" t="s">
        <v>1075</v>
      </c>
      <c r="O129" t="s">
        <v>1077</v>
      </c>
    </row>
    <row r="130" spans="1:15" x14ac:dyDescent="0.25">
      <c r="A130" t="s">
        <v>344</v>
      </c>
      <c r="B130" t="s">
        <v>451</v>
      </c>
      <c r="C130" t="s">
        <v>91</v>
      </c>
      <c r="D130" t="s">
        <v>23</v>
      </c>
      <c r="E130">
        <v>40</v>
      </c>
      <c r="F130" t="s">
        <v>9</v>
      </c>
      <c r="G130" t="s">
        <v>37</v>
      </c>
      <c r="H130">
        <v>97038.720000000001</v>
      </c>
      <c r="I130" s="6">
        <v>40540</v>
      </c>
      <c r="J130">
        <v>15</v>
      </c>
      <c r="K130" t="s">
        <v>345</v>
      </c>
      <c r="L130" t="s">
        <v>85</v>
      </c>
      <c r="M130">
        <v>4</v>
      </c>
      <c r="N130" t="s">
        <v>1061</v>
      </c>
      <c r="O130" t="s">
        <v>1077</v>
      </c>
    </row>
    <row r="131" spans="1:15" x14ac:dyDescent="0.25">
      <c r="A131" t="s">
        <v>346</v>
      </c>
      <c r="B131" t="s">
        <v>6</v>
      </c>
      <c r="C131" t="s">
        <v>76</v>
      </c>
      <c r="D131" t="s">
        <v>23</v>
      </c>
      <c r="E131">
        <v>39</v>
      </c>
      <c r="F131" t="s">
        <v>32</v>
      </c>
      <c r="G131" t="s">
        <v>44</v>
      </c>
      <c r="H131">
        <v>70969</v>
      </c>
      <c r="I131" s="6">
        <v>40191</v>
      </c>
      <c r="J131">
        <v>16</v>
      </c>
      <c r="K131" t="s">
        <v>347</v>
      </c>
      <c r="L131" t="s">
        <v>85</v>
      </c>
      <c r="M131">
        <v>4</v>
      </c>
      <c r="N131" t="s">
        <v>1061</v>
      </c>
      <c r="O131" t="s">
        <v>1077</v>
      </c>
    </row>
    <row r="132" spans="1:15" x14ac:dyDescent="0.25">
      <c r="A132" t="s">
        <v>348</v>
      </c>
      <c r="B132" t="s">
        <v>514</v>
      </c>
      <c r="C132" t="s">
        <v>91</v>
      </c>
      <c r="D132" t="s">
        <v>23</v>
      </c>
      <c r="E132">
        <v>42</v>
      </c>
      <c r="F132" t="s">
        <v>295</v>
      </c>
      <c r="G132" t="s">
        <v>17</v>
      </c>
      <c r="H132">
        <v>71536</v>
      </c>
      <c r="I132" s="6">
        <v>43679</v>
      </c>
      <c r="J132">
        <v>7</v>
      </c>
      <c r="K132" t="s">
        <v>349</v>
      </c>
      <c r="L132" t="s">
        <v>11</v>
      </c>
      <c r="M132">
        <v>1</v>
      </c>
      <c r="N132" t="s">
        <v>1062</v>
      </c>
      <c r="O132" t="s">
        <v>1077</v>
      </c>
    </row>
    <row r="133" spans="1:15" x14ac:dyDescent="0.25">
      <c r="A133" t="s">
        <v>350</v>
      </c>
      <c r="B133" t="s">
        <v>43</v>
      </c>
      <c r="C133" t="s">
        <v>351</v>
      </c>
      <c r="D133" t="s">
        <v>1</v>
      </c>
      <c r="E133">
        <v>28</v>
      </c>
      <c r="F133" t="s">
        <v>133</v>
      </c>
      <c r="G133" t="s">
        <v>44</v>
      </c>
      <c r="H133">
        <v>51300</v>
      </c>
      <c r="I133" s="6">
        <v>43477</v>
      </c>
      <c r="J133">
        <v>7</v>
      </c>
      <c r="K133" t="s">
        <v>122</v>
      </c>
      <c r="L133" t="s">
        <v>207</v>
      </c>
      <c r="M133">
        <v>3</v>
      </c>
      <c r="N133" t="s">
        <v>1075</v>
      </c>
      <c r="O133" t="s">
        <v>1077</v>
      </c>
    </row>
    <row r="134" spans="1:15" x14ac:dyDescent="0.25">
      <c r="A134" t="s">
        <v>352</v>
      </c>
      <c r="B134" t="s">
        <v>127</v>
      </c>
      <c r="C134" t="s">
        <v>166</v>
      </c>
      <c r="D134" t="s">
        <v>23</v>
      </c>
      <c r="E134">
        <v>42</v>
      </c>
      <c r="F134" t="s">
        <v>181</v>
      </c>
      <c r="G134" t="s">
        <v>17</v>
      </c>
      <c r="H134">
        <v>54445</v>
      </c>
      <c r="I134" s="6">
        <v>44511</v>
      </c>
      <c r="J134">
        <v>4</v>
      </c>
      <c r="K134" t="s">
        <v>353</v>
      </c>
      <c r="L134" t="s">
        <v>4</v>
      </c>
      <c r="M134">
        <v>3</v>
      </c>
      <c r="N134" t="s">
        <v>1062</v>
      </c>
      <c r="O134" t="s">
        <v>1077</v>
      </c>
    </row>
    <row r="135" spans="1:15" x14ac:dyDescent="0.25">
      <c r="A135" t="s">
        <v>354</v>
      </c>
      <c r="B135" t="s">
        <v>355</v>
      </c>
      <c r="C135" t="s">
        <v>356</v>
      </c>
      <c r="D135" t="s">
        <v>8</v>
      </c>
      <c r="E135">
        <v>53</v>
      </c>
      <c r="F135" t="s">
        <v>142</v>
      </c>
      <c r="G135" t="s">
        <v>216</v>
      </c>
      <c r="H135">
        <v>169697</v>
      </c>
      <c r="I135" s="6">
        <v>41102</v>
      </c>
      <c r="J135">
        <v>14</v>
      </c>
      <c r="K135" t="s">
        <v>251</v>
      </c>
      <c r="L135" t="s">
        <v>11</v>
      </c>
      <c r="M135">
        <v>3</v>
      </c>
      <c r="N135" t="s">
        <v>1064</v>
      </c>
      <c r="O135" t="s">
        <v>1078</v>
      </c>
    </row>
    <row r="136" spans="1:15" x14ac:dyDescent="0.25">
      <c r="A136" t="s">
        <v>357</v>
      </c>
      <c r="B136" t="s">
        <v>79</v>
      </c>
      <c r="C136" t="s">
        <v>180</v>
      </c>
      <c r="D136" t="s">
        <v>23</v>
      </c>
      <c r="E136">
        <v>62</v>
      </c>
      <c r="F136" t="s">
        <v>133</v>
      </c>
      <c r="G136" t="s">
        <v>105</v>
      </c>
      <c r="H136">
        <v>80195</v>
      </c>
      <c r="I136" s="6">
        <v>42652</v>
      </c>
      <c r="J136">
        <v>10</v>
      </c>
      <c r="K136" t="s">
        <v>358</v>
      </c>
      <c r="L136" t="s">
        <v>54</v>
      </c>
      <c r="M136">
        <v>4</v>
      </c>
      <c r="N136" t="s">
        <v>1080</v>
      </c>
      <c r="O136" t="s">
        <v>1077</v>
      </c>
    </row>
    <row r="137" spans="1:15" x14ac:dyDescent="0.25">
      <c r="A137" t="s">
        <v>359</v>
      </c>
      <c r="B137" t="s">
        <v>30</v>
      </c>
      <c r="C137" t="s">
        <v>589</v>
      </c>
      <c r="D137" t="s">
        <v>1</v>
      </c>
      <c r="E137">
        <v>46</v>
      </c>
      <c r="F137" t="s">
        <v>36</v>
      </c>
      <c r="G137" t="s">
        <v>2</v>
      </c>
      <c r="H137">
        <v>124001</v>
      </c>
      <c r="I137" s="6">
        <v>40839</v>
      </c>
      <c r="J137">
        <v>14</v>
      </c>
      <c r="K137" t="s">
        <v>360</v>
      </c>
      <c r="L137" t="s">
        <v>11</v>
      </c>
      <c r="M137">
        <v>5</v>
      </c>
      <c r="N137" t="s">
        <v>1063</v>
      </c>
      <c r="O137" t="s">
        <v>1074</v>
      </c>
    </row>
    <row r="138" spans="1:15" x14ac:dyDescent="0.25">
      <c r="A138" t="s">
        <v>361</v>
      </c>
      <c r="B138" t="s">
        <v>132</v>
      </c>
      <c r="C138" t="s">
        <v>76</v>
      </c>
      <c r="D138" t="s">
        <v>1</v>
      </c>
      <c r="E138">
        <v>43</v>
      </c>
      <c r="F138" t="s">
        <v>154</v>
      </c>
      <c r="G138" t="s">
        <v>17</v>
      </c>
      <c r="H138">
        <v>42155</v>
      </c>
      <c r="I138" s="6">
        <v>44222</v>
      </c>
      <c r="J138">
        <v>5</v>
      </c>
      <c r="K138" t="s">
        <v>362</v>
      </c>
      <c r="L138" t="s">
        <v>14</v>
      </c>
      <c r="M138">
        <v>3</v>
      </c>
      <c r="N138" t="s">
        <v>1062</v>
      </c>
      <c r="O138" t="s">
        <v>1076</v>
      </c>
    </row>
    <row r="139" spans="1:15" x14ac:dyDescent="0.25">
      <c r="A139" t="s">
        <v>363</v>
      </c>
      <c r="B139" t="s">
        <v>355</v>
      </c>
      <c r="C139" t="s">
        <v>68</v>
      </c>
      <c r="D139" t="s">
        <v>23</v>
      </c>
      <c r="E139">
        <v>33</v>
      </c>
      <c r="F139" t="s">
        <v>154</v>
      </c>
      <c r="G139" t="s">
        <v>2</v>
      </c>
      <c r="H139">
        <v>67698</v>
      </c>
      <c r="I139" s="6">
        <v>42758</v>
      </c>
      <c r="J139">
        <v>9</v>
      </c>
      <c r="K139" t="s">
        <v>364</v>
      </c>
      <c r="L139" t="s">
        <v>28</v>
      </c>
      <c r="M139">
        <v>5</v>
      </c>
      <c r="N139" t="s">
        <v>1060</v>
      </c>
      <c r="O139" t="s">
        <v>1077</v>
      </c>
    </row>
    <row r="140" spans="1:15" x14ac:dyDescent="0.25">
      <c r="A140" t="s">
        <v>365</v>
      </c>
      <c r="B140" t="s">
        <v>401</v>
      </c>
      <c r="C140" t="s">
        <v>308</v>
      </c>
      <c r="D140" t="s">
        <v>1</v>
      </c>
      <c r="E140">
        <v>57</v>
      </c>
      <c r="F140" t="s">
        <v>295</v>
      </c>
      <c r="G140" t="s">
        <v>2</v>
      </c>
      <c r="H140">
        <v>110331</v>
      </c>
      <c r="I140" s="6">
        <v>44324</v>
      </c>
      <c r="J140">
        <v>5</v>
      </c>
      <c r="K140" t="s">
        <v>366</v>
      </c>
      <c r="L140" t="s">
        <v>39</v>
      </c>
      <c r="M140">
        <v>3</v>
      </c>
      <c r="N140" t="s">
        <v>1065</v>
      </c>
      <c r="O140" t="s">
        <v>1074</v>
      </c>
    </row>
    <row r="141" spans="1:15" x14ac:dyDescent="0.25">
      <c r="A141" t="s">
        <v>367</v>
      </c>
      <c r="B141" t="s">
        <v>30</v>
      </c>
      <c r="C141" t="s">
        <v>59</v>
      </c>
      <c r="D141" t="s">
        <v>1</v>
      </c>
      <c r="E141">
        <v>43</v>
      </c>
      <c r="F141" t="s">
        <v>203</v>
      </c>
      <c r="G141" t="s">
        <v>2</v>
      </c>
      <c r="H141">
        <v>80480</v>
      </c>
      <c r="I141" s="6">
        <v>40912</v>
      </c>
      <c r="J141">
        <v>14</v>
      </c>
      <c r="K141" t="s">
        <v>368</v>
      </c>
      <c r="L141" t="s">
        <v>207</v>
      </c>
      <c r="M141">
        <v>2</v>
      </c>
      <c r="N141" t="s">
        <v>1062</v>
      </c>
      <c r="O141" t="s">
        <v>1077</v>
      </c>
    </row>
    <row r="142" spans="1:15" x14ac:dyDescent="0.25">
      <c r="A142" t="s">
        <v>369</v>
      </c>
      <c r="B142" t="s">
        <v>47</v>
      </c>
      <c r="C142" t="s">
        <v>7</v>
      </c>
      <c r="D142" t="s">
        <v>1</v>
      </c>
      <c r="E142">
        <v>39</v>
      </c>
      <c r="F142" t="s">
        <v>1066</v>
      </c>
      <c r="G142" t="s">
        <v>63</v>
      </c>
      <c r="H142">
        <v>72221</v>
      </c>
      <c r="I142" s="6">
        <v>44386</v>
      </c>
      <c r="J142">
        <v>5</v>
      </c>
      <c r="K142" t="s">
        <v>370</v>
      </c>
      <c r="L142" t="s">
        <v>28</v>
      </c>
      <c r="M142">
        <v>4</v>
      </c>
      <c r="N142" t="s">
        <v>1061</v>
      </c>
      <c r="O142" t="s">
        <v>1077</v>
      </c>
    </row>
    <row r="143" spans="1:15" x14ac:dyDescent="0.25">
      <c r="A143" t="s">
        <v>371</v>
      </c>
      <c r="B143" t="s">
        <v>127</v>
      </c>
      <c r="C143" t="s">
        <v>394</v>
      </c>
      <c r="D143" t="s">
        <v>8</v>
      </c>
      <c r="E143">
        <v>38</v>
      </c>
      <c r="F143" t="s">
        <v>1066</v>
      </c>
      <c r="G143" t="s">
        <v>2</v>
      </c>
      <c r="H143">
        <v>72730</v>
      </c>
      <c r="I143" s="6">
        <v>44270</v>
      </c>
      <c r="J143">
        <v>5</v>
      </c>
      <c r="K143" t="s">
        <v>372</v>
      </c>
      <c r="L143" t="s">
        <v>28</v>
      </c>
      <c r="M143">
        <v>4</v>
      </c>
      <c r="N143" t="s">
        <v>1061</v>
      </c>
      <c r="O143" t="s">
        <v>1077</v>
      </c>
    </row>
    <row r="144" spans="1:15" x14ac:dyDescent="0.25">
      <c r="A144" t="s">
        <v>373</v>
      </c>
      <c r="B144" t="s">
        <v>374</v>
      </c>
      <c r="C144" t="s">
        <v>375</v>
      </c>
      <c r="D144" t="s">
        <v>1</v>
      </c>
      <c r="E144">
        <v>39</v>
      </c>
      <c r="F144" t="s">
        <v>181</v>
      </c>
      <c r="G144" t="s">
        <v>63</v>
      </c>
      <c r="H144">
        <v>54700</v>
      </c>
      <c r="I144" s="6">
        <v>42470</v>
      </c>
      <c r="J144">
        <v>10</v>
      </c>
      <c r="K144" t="s">
        <v>376</v>
      </c>
      <c r="L144" t="s">
        <v>49</v>
      </c>
      <c r="M144">
        <v>1</v>
      </c>
      <c r="N144" t="s">
        <v>1061</v>
      </c>
      <c r="O144" t="s">
        <v>1077</v>
      </c>
    </row>
    <row r="145" spans="1:15" x14ac:dyDescent="0.25">
      <c r="A145" t="s">
        <v>377</v>
      </c>
      <c r="B145" t="s">
        <v>378</v>
      </c>
      <c r="C145" t="s">
        <v>141</v>
      </c>
      <c r="D145" t="s">
        <v>23</v>
      </c>
      <c r="E145">
        <v>40</v>
      </c>
      <c r="F145" t="s">
        <v>9</v>
      </c>
      <c r="G145" t="s">
        <v>100</v>
      </c>
      <c r="H145">
        <v>76877</v>
      </c>
      <c r="I145" s="6">
        <v>39325</v>
      </c>
      <c r="J145">
        <v>19</v>
      </c>
      <c r="K145" t="s">
        <v>379</v>
      </c>
      <c r="L145" t="s">
        <v>54</v>
      </c>
      <c r="M145">
        <v>4</v>
      </c>
      <c r="N145" t="s">
        <v>1061</v>
      </c>
      <c r="O145" t="s">
        <v>1077</v>
      </c>
    </row>
    <row r="146" spans="1:15" x14ac:dyDescent="0.25">
      <c r="A146" t="s">
        <v>380</v>
      </c>
      <c r="B146" t="s">
        <v>378</v>
      </c>
      <c r="C146" t="s">
        <v>68</v>
      </c>
      <c r="D146" t="s">
        <v>1</v>
      </c>
      <c r="E146">
        <v>35</v>
      </c>
      <c r="F146" t="s">
        <v>36</v>
      </c>
      <c r="G146" t="s">
        <v>17</v>
      </c>
      <c r="H146">
        <v>93968.05</v>
      </c>
      <c r="I146" s="6">
        <v>43706</v>
      </c>
      <c r="J146">
        <v>7</v>
      </c>
      <c r="K146" t="s">
        <v>381</v>
      </c>
      <c r="L146" t="s">
        <v>85</v>
      </c>
      <c r="M146">
        <v>3</v>
      </c>
      <c r="N146" t="s">
        <v>1060</v>
      </c>
      <c r="O146" t="s">
        <v>1077</v>
      </c>
    </row>
    <row r="147" spans="1:15" x14ac:dyDescent="0.25">
      <c r="A147" t="s">
        <v>382</v>
      </c>
      <c r="B147" t="s">
        <v>47</v>
      </c>
      <c r="C147" t="s">
        <v>22</v>
      </c>
      <c r="D147" t="s">
        <v>1</v>
      </c>
      <c r="E147">
        <v>44</v>
      </c>
      <c r="F147" t="s">
        <v>1066</v>
      </c>
      <c r="G147" t="s">
        <v>44</v>
      </c>
      <c r="H147">
        <v>44185</v>
      </c>
      <c r="I147" s="6">
        <v>40186</v>
      </c>
      <c r="J147">
        <v>16</v>
      </c>
      <c r="K147" t="s">
        <v>383</v>
      </c>
      <c r="L147" t="s">
        <v>85</v>
      </c>
      <c r="M147">
        <v>2</v>
      </c>
      <c r="N147" t="s">
        <v>1062</v>
      </c>
      <c r="O147" t="s">
        <v>1076</v>
      </c>
    </row>
    <row r="148" spans="1:15" x14ac:dyDescent="0.25">
      <c r="A148" t="s">
        <v>384</v>
      </c>
      <c r="B148" t="s">
        <v>47</v>
      </c>
      <c r="C148" t="s">
        <v>16</v>
      </c>
      <c r="D148" t="s">
        <v>8</v>
      </c>
      <c r="E148">
        <v>30</v>
      </c>
      <c r="F148" t="s">
        <v>313</v>
      </c>
      <c r="G148" t="s">
        <v>37</v>
      </c>
      <c r="H148">
        <v>95549</v>
      </c>
      <c r="I148" s="6">
        <v>43441</v>
      </c>
      <c r="J148">
        <v>7</v>
      </c>
      <c r="K148" t="s">
        <v>48</v>
      </c>
      <c r="L148" t="s">
        <v>14</v>
      </c>
      <c r="M148">
        <v>3</v>
      </c>
      <c r="N148" t="s">
        <v>1075</v>
      </c>
      <c r="O148" t="s">
        <v>1077</v>
      </c>
    </row>
    <row r="149" spans="1:15" x14ac:dyDescent="0.25">
      <c r="A149" t="s">
        <v>385</v>
      </c>
      <c r="B149" t="s">
        <v>221</v>
      </c>
      <c r="C149" t="s">
        <v>291</v>
      </c>
      <c r="D149" t="s">
        <v>1</v>
      </c>
      <c r="E149">
        <v>37</v>
      </c>
      <c r="F149" t="s">
        <v>9</v>
      </c>
      <c r="G149" t="s">
        <v>44</v>
      </c>
      <c r="H149">
        <v>82509</v>
      </c>
      <c r="I149" s="6">
        <v>43173</v>
      </c>
      <c r="J149">
        <v>8</v>
      </c>
      <c r="K149" t="s">
        <v>386</v>
      </c>
      <c r="L149" t="s">
        <v>107</v>
      </c>
      <c r="M149">
        <v>2</v>
      </c>
      <c r="N149" t="s">
        <v>1061</v>
      </c>
      <c r="O149" t="s">
        <v>1077</v>
      </c>
    </row>
    <row r="150" spans="1:15" x14ac:dyDescent="0.25">
      <c r="A150" t="s">
        <v>387</v>
      </c>
      <c r="B150" t="s">
        <v>79</v>
      </c>
      <c r="C150" t="s">
        <v>83</v>
      </c>
      <c r="D150" t="s">
        <v>8</v>
      </c>
      <c r="E150">
        <v>24</v>
      </c>
      <c r="F150" t="s">
        <v>203</v>
      </c>
      <c r="G150" t="s">
        <v>17</v>
      </c>
      <c r="H150">
        <v>58009.35</v>
      </c>
      <c r="I150" s="6">
        <v>45539</v>
      </c>
      <c r="J150">
        <v>2</v>
      </c>
      <c r="K150" t="s">
        <v>388</v>
      </c>
      <c r="L150" t="s">
        <v>65</v>
      </c>
      <c r="M150">
        <v>2</v>
      </c>
      <c r="N150" t="s">
        <v>1075</v>
      </c>
      <c r="O150" t="s">
        <v>1077</v>
      </c>
    </row>
    <row r="151" spans="1:15" x14ac:dyDescent="0.25">
      <c r="A151" t="s">
        <v>389</v>
      </c>
      <c r="B151" t="s">
        <v>127</v>
      </c>
      <c r="C151" t="s">
        <v>153</v>
      </c>
      <c r="D151" t="s">
        <v>1</v>
      </c>
      <c r="E151">
        <v>49</v>
      </c>
      <c r="F151" t="s">
        <v>203</v>
      </c>
      <c r="G151" t="s">
        <v>2</v>
      </c>
      <c r="H151">
        <v>92201</v>
      </c>
      <c r="I151" s="6">
        <v>38877</v>
      </c>
      <c r="J151">
        <v>20</v>
      </c>
      <c r="K151" t="s">
        <v>390</v>
      </c>
      <c r="L151" t="s">
        <v>107</v>
      </c>
      <c r="M151">
        <v>3</v>
      </c>
      <c r="N151" t="s">
        <v>1063</v>
      </c>
      <c r="O151" t="s">
        <v>1077</v>
      </c>
    </row>
    <row r="152" spans="1:15" x14ac:dyDescent="0.25">
      <c r="A152" t="s">
        <v>391</v>
      </c>
      <c r="B152" t="s">
        <v>30</v>
      </c>
      <c r="C152" t="s">
        <v>222</v>
      </c>
      <c r="D152" t="s">
        <v>1</v>
      </c>
      <c r="E152">
        <v>51</v>
      </c>
      <c r="F152" t="s">
        <v>154</v>
      </c>
      <c r="G152" t="s">
        <v>44</v>
      </c>
      <c r="H152">
        <v>41306</v>
      </c>
      <c r="I152" s="6">
        <v>40544</v>
      </c>
      <c r="J152">
        <v>15</v>
      </c>
      <c r="K152" t="s">
        <v>392</v>
      </c>
      <c r="L152" t="s">
        <v>54</v>
      </c>
      <c r="M152">
        <v>3</v>
      </c>
      <c r="N152" t="s">
        <v>1064</v>
      </c>
      <c r="O152" t="s">
        <v>1076</v>
      </c>
    </row>
    <row r="153" spans="1:15" x14ac:dyDescent="0.25">
      <c r="A153" t="s">
        <v>393</v>
      </c>
      <c r="B153" t="s">
        <v>99</v>
      </c>
      <c r="C153" t="s">
        <v>394</v>
      </c>
      <c r="D153" t="s">
        <v>23</v>
      </c>
      <c r="E153">
        <v>39</v>
      </c>
      <c r="F153" t="s">
        <v>1066</v>
      </c>
      <c r="G153" t="s">
        <v>17</v>
      </c>
      <c r="H153">
        <v>56325</v>
      </c>
      <c r="I153" s="6">
        <v>40598</v>
      </c>
      <c r="J153">
        <v>15</v>
      </c>
      <c r="K153" t="s">
        <v>395</v>
      </c>
      <c r="L153" t="s">
        <v>207</v>
      </c>
      <c r="M153">
        <v>2</v>
      </c>
      <c r="N153" t="s">
        <v>1061</v>
      </c>
      <c r="O153" t="s">
        <v>1077</v>
      </c>
    </row>
    <row r="154" spans="1:15" x14ac:dyDescent="0.25">
      <c r="A154" t="s">
        <v>396</v>
      </c>
      <c r="B154" t="s">
        <v>321</v>
      </c>
      <c r="C154" t="s">
        <v>308</v>
      </c>
      <c r="D154" t="s">
        <v>23</v>
      </c>
      <c r="E154">
        <v>45</v>
      </c>
      <c r="F154" t="s">
        <v>203</v>
      </c>
      <c r="G154" t="s">
        <v>17</v>
      </c>
      <c r="H154">
        <v>58009.35</v>
      </c>
      <c r="I154" s="6">
        <v>40690</v>
      </c>
      <c r="J154">
        <v>15</v>
      </c>
      <c r="K154" t="s">
        <v>397</v>
      </c>
      <c r="L154" t="s">
        <v>11</v>
      </c>
      <c r="M154">
        <v>3</v>
      </c>
      <c r="N154" t="s">
        <v>1062</v>
      </c>
      <c r="O154" t="s">
        <v>1077</v>
      </c>
    </row>
    <row r="155" spans="1:15" x14ac:dyDescent="0.25">
      <c r="A155" t="s">
        <v>398</v>
      </c>
      <c r="B155" t="s">
        <v>514</v>
      </c>
      <c r="C155" t="s">
        <v>76</v>
      </c>
      <c r="D155" t="s">
        <v>1</v>
      </c>
      <c r="E155">
        <v>43</v>
      </c>
      <c r="F155" t="s">
        <v>154</v>
      </c>
      <c r="G155" t="s">
        <v>63</v>
      </c>
      <c r="H155">
        <v>52659</v>
      </c>
      <c r="I155" s="6">
        <v>43900</v>
      </c>
      <c r="J155">
        <v>6</v>
      </c>
      <c r="K155" t="s">
        <v>399</v>
      </c>
      <c r="L155" t="s">
        <v>54</v>
      </c>
      <c r="M155">
        <v>4</v>
      </c>
      <c r="N155" t="s">
        <v>1062</v>
      </c>
      <c r="O155" t="s">
        <v>1077</v>
      </c>
    </row>
    <row r="156" spans="1:15" x14ac:dyDescent="0.25">
      <c r="A156" t="s">
        <v>400</v>
      </c>
      <c r="B156" t="s">
        <v>401</v>
      </c>
      <c r="C156" t="s">
        <v>402</v>
      </c>
      <c r="D156" t="s">
        <v>8</v>
      </c>
      <c r="E156">
        <v>55</v>
      </c>
      <c r="F156" t="s">
        <v>154</v>
      </c>
      <c r="G156" t="s">
        <v>105</v>
      </c>
      <c r="H156">
        <v>77734.55</v>
      </c>
      <c r="I156" s="6">
        <v>40861</v>
      </c>
      <c r="J156">
        <v>14</v>
      </c>
      <c r="K156" t="s">
        <v>403</v>
      </c>
      <c r="L156" t="s">
        <v>207</v>
      </c>
      <c r="M156">
        <v>4</v>
      </c>
      <c r="N156" t="s">
        <v>1064</v>
      </c>
      <c r="O156" t="s">
        <v>1077</v>
      </c>
    </row>
    <row r="157" spans="1:15" x14ac:dyDescent="0.25">
      <c r="A157" t="s">
        <v>404</v>
      </c>
      <c r="B157" t="s">
        <v>115</v>
      </c>
      <c r="C157" t="s">
        <v>104</v>
      </c>
      <c r="D157" t="s">
        <v>1</v>
      </c>
      <c r="E157">
        <v>41</v>
      </c>
      <c r="F157" t="s">
        <v>32</v>
      </c>
      <c r="G157" t="s">
        <v>44</v>
      </c>
      <c r="H157">
        <v>70472.5</v>
      </c>
      <c r="I157" s="6">
        <v>40540</v>
      </c>
      <c r="J157">
        <v>15</v>
      </c>
      <c r="K157" t="s">
        <v>405</v>
      </c>
      <c r="L157" t="s">
        <v>11</v>
      </c>
      <c r="M157">
        <v>5</v>
      </c>
      <c r="N157" t="s">
        <v>1062</v>
      </c>
      <c r="O157" t="s">
        <v>1077</v>
      </c>
    </row>
    <row r="158" spans="1:15" x14ac:dyDescent="0.25">
      <c r="A158" t="s">
        <v>406</v>
      </c>
      <c r="B158" t="s">
        <v>127</v>
      </c>
      <c r="C158" t="s">
        <v>169</v>
      </c>
      <c r="D158" t="s">
        <v>8</v>
      </c>
      <c r="E158">
        <v>38</v>
      </c>
      <c r="F158" t="s">
        <v>203</v>
      </c>
      <c r="G158" t="s">
        <v>17</v>
      </c>
      <c r="H158">
        <v>46452</v>
      </c>
      <c r="I158" s="6">
        <v>42793</v>
      </c>
      <c r="J158">
        <v>9</v>
      </c>
      <c r="K158" t="s">
        <v>407</v>
      </c>
      <c r="L158" t="s">
        <v>107</v>
      </c>
      <c r="M158">
        <v>3</v>
      </c>
      <c r="N158" t="s">
        <v>1061</v>
      </c>
      <c r="O158" t="s">
        <v>1076</v>
      </c>
    </row>
    <row r="159" spans="1:15" x14ac:dyDescent="0.25">
      <c r="A159" t="s">
        <v>408</v>
      </c>
      <c r="B159" t="s">
        <v>334</v>
      </c>
      <c r="C159" t="s">
        <v>291</v>
      </c>
      <c r="D159" t="s">
        <v>8</v>
      </c>
      <c r="E159">
        <v>43</v>
      </c>
      <c r="F159" t="s">
        <v>133</v>
      </c>
      <c r="G159" t="s">
        <v>17</v>
      </c>
      <c r="H159">
        <v>66508</v>
      </c>
      <c r="I159" s="6"/>
      <c r="K159" t="s">
        <v>409</v>
      </c>
      <c r="L159" t="s">
        <v>19</v>
      </c>
      <c r="M159">
        <v>1</v>
      </c>
      <c r="N159" t="s">
        <v>1062</v>
      </c>
      <c r="O159" t="s">
        <v>1077</v>
      </c>
    </row>
    <row r="160" spans="1:15" x14ac:dyDescent="0.25">
      <c r="A160" t="s">
        <v>410</v>
      </c>
      <c r="B160" t="s">
        <v>334</v>
      </c>
      <c r="C160" t="s">
        <v>124</v>
      </c>
      <c r="D160" t="s">
        <v>1</v>
      </c>
      <c r="E160">
        <v>52</v>
      </c>
      <c r="F160" t="s">
        <v>142</v>
      </c>
      <c r="G160" t="s">
        <v>44</v>
      </c>
      <c r="H160">
        <v>52018.05</v>
      </c>
      <c r="I160" s="6">
        <v>39263</v>
      </c>
      <c r="J160">
        <v>19</v>
      </c>
      <c r="K160" t="s">
        <v>411</v>
      </c>
      <c r="L160" t="s">
        <v>54</v>
      </c>
      <c r="M160">
        <v>5</v>
      </c>
      <c r="N160" t="s">
        <v>1064</v>
      </c>
      <c r="O160" t="s">
        <v>1077</v>
      </c>
    </row>
    <row r="161" spans="1:15" x14ac:dyDescent="0.25">
      <c r="A161" t="s">
        <v>412</v>
      </c>
      <c r="B161" t="s">
        <v>321</v>
      </c>
      <c r="C161" t="s">
        <v>356</v>
      </c>
      <c r="D161" t="s">
        <v>8</v>
      </c>
      <c r="E161">
        <v>42</v>
      </c>
      <c r="F161" t="s">
        <v>154</v>
      </c>
      <c r="G161" t="s">
        <v>105</v>
      </c>
      <c r="H161">
        <v>73619</v>
      </c>
      <c r="I161" s="6">
        <v>41971</v>
      </c>
      <c r="J161">
        <v>11</v>
      </c>
      <c r="K161" t="s">
        <v>413</v>
      </c>
      <c r="L161" t="s">
        <v>207</v>
      </c>
      <c r="M161">
        <v>5</v>
      </c>
      <c r="N161" t="s">
        <v>1062</v>
      </c>
      <c r="O161" t="s">
        <v>1077</v>
      </c>
    </row>
    <row r="162" spans="1:15" x14ac:dyDescent="0.25">
      <c r="A162" t="s">
        <v>414</v>
      </c>
      <c r="B162" t="s">
        <v>476</v>
      </c>
      <c r="C162" t="s">
        <v>7</v>
      </c>
      <c r="D162" t="s">
        <v>8</v>
      </c>
      <c r="E162">
        <v>46</v>
      </c>
      <c r="F162" t="s">
        <v>313</v>
      </c>
      <c r="G162" t="s">
        <v>2</v>
      </c>
      <c r="H162">
        <v>127143</v>
      </c>
      <c r="I162" s="6">
        <v>38694</v>
      </c>
      <c r="J162">
        <v>20</v>
      </c>
      <c r="K162" t="s">
        <v>415</v>
      </c>
      <c r="L162" t="s">
        <v>120</v>
      </c>
      <c r="M162">
        <v>4</v>
      </c>
      <c r="N162" t="s">
        <v>1063</v>
      </c>
      <c r="O162" t="s">
        <v>1074</v>
      </c>
    </row>
    <row r="163" spans="1:15" x14ac:dyDescent="0.25">
      <c r="A163" t="s">
        <v>416</v>
      </c>
      <c r="B163" t="s">
        <v>62</v>
      </c>
      <c r="C163" t="s">
        <v>799</v>
      </c>
      <c r="D163" t="s">
        <v>8</v>
      </c>
      <c r="E163">
        <v>44</v>
      </c>
      <c r="F163" t="s">
        <v>142</v>
      </c>
      <c r="G163" t="s">
        <v>44</v>
      </c>
      <c r="H163">
        <v>48315</v>
      </c>
      <c r="I163" s="6">
        <v>42872</v>
      </c>
      <c r="J163">
        <v>9</v>
      </c>
      <c r="K163" t="s">
        <v>417</v>
      </c>
      <c r="L163" t="s">
        <v>11</v>
      </c>
      <c r="M163">
        <v>3</v>
      </c>
      <c r="N163" t="s">
        <v>1062</v>
      </c>
      <c r="O163" t="s">
        <v>1076</v>
      </c>
    </row>
    <row r="164" spans="1:15" x14ac:dyDescent="0.25">
      <c r="A164" t="s">
        <v>418</v>
      </c>
      <c r="B164" t="s">
        <v>6</v>
      </c>
      <c r="C164" t="s">
        <v>589</v>
      </c>
      <c r="D164" t="s">
        <v>23</v>
      </c>
      <c r="E164">
        <v>41</v>
      </c>
      <c r="F164" t="s">
        <v>1066</v>
      </c>
      <c r="G164" t="s">
        <v>37</v>
      </c>
      <c r="H164">
        <v>95461</v>
      </c>
      <c r="I164" s="6">
        <v>42813</v>
      </c>
      <c r="J164">
        <v>9</v>
      </c>
      <c r="K164" t="s">
        <v>419</v>
      </c>
      <c r="L164" t="s">
        <v>11</v>
      </c>
      <c r="M164">
        <v>3</v>
      </c>
      <c r="N164" t="s">
        <v>1062</v>
      </c>
      <c r="O164" t="s">
        <v>1077</v>
      </c>
    </row>
    <row r="165" spans="1:15" x14ac:dyDescent="0.25">
      <c r="A165" t="s">
        <v>420</v>
      </c>
      <c r="B165" t="s">
        <v>451</v>
      </c>
      <c r="C165" t="s">
        <v>153</v>
      </c>
      <c r="D165" t="s">
        <v>8</v>
      </c>
      <c r="E165">
        <v>53</v>
      </c>
      <c r="F165" t="s">
        <v>32</v>
      </c>
      <c r="G165" t="s">
        <v>17</v>
      </c>
      <c r="H165">
        <v>81928</v>
      </c>
      <c r="I165" s="6">
        <v>38744</v>
      </c>
      <c r="J165">
        <v>20</v>
      </c>
      <c r="K165" t="s">
        <v>421</v>
      </c>
      <c r="L165" t="s">
        <v>65</v>
      </c>
      <c r="M165">
        <v>4</v>
      </c>
      <c r="N165" t="s">
        <v>1064</v>
      </c>
      <c r="O165" t="s">
        <v>1077</v>
      </c>
    </row>
    <row r="166" spans="1:15" x14ac:dyDescent="0.25">
      <c r="A166" t="s">
        <v>422</v>
      </c>
      <c r="B166" t="s">
        <v>321</v>
      </c>
      <c r="C166" t="s">
        <v>402</v>
      </c>
      <c r="D166" t="s">
        <v>1</v>
      </c>
      <c r="E166">
        <v>44</v>
      </c>
      <c r="F166" t="s">
        <v>9</v>
      </c>
      <c r="G166" t="s">
        <v>44</v>
      </c>
      <c r="H166">
        <v>85578</v>
      </c>
      <c r="I166" s="6">
        <v>42433</v>
      </c>
      <c r="J166">
        <v>10</v>
      </c>
      <c r="K166" t="s">
        <v>423</v>
      </c>
      <c r="L166" t="s">
        <v>25</v>
      </c>
      <c r="M166">
        <v>4</v>
      </c>
      <c r="N166" t="s">
        <v>1062</v>
      </c>
      <c r="O166" t="s">
        <v>1077</v>
      </c>
    </row>
    <row r="167" spans="1:15" x14ac:dyDescent="0.25">
      <c r="A167" t="s">
        <v>424</v>
      </c>
      <c r="B167" t="s">
        <v>43</v>
      </c>
      <c r="C167" t="s">
        <v>222</v>
      </c>
      <c r="D167" t="s">
        <v>1</v>
      </c>
      <c r="E167">
        <v>44</v>
      </c>
      <c r="F167" t="s">
        <v>203</v>
      </c>
      <c r="G167" t="s">
        <v>37</v>
      </c>
      <c r="H167">
        <v>66678</v>
      </c>
      <c r="I167" s="6">
        <v>40226</v>
      </c>
      <c r="J167">
        <v>16</v>
      </c>
      <c r="K167" t="s">
        <v>425</v>
      </c>
      <c r="L167" t="s">
        <v>49</v>
      </c>
      <c r="M167">
        <v>1</v>
      </c>
      <c r="N167" t="s">
        <v>1062</v>
      </c>
      <c r="O167" t="s">
        <v>1077</v>
      </c>
    </row>
    <row r="168" spans="1:15" x14ac:dyDescent="0.25">
      <c r="A168" t="s">
        <v>426</v>
      </c>
      <c r="B168" t="s">
        <v>334</v>
      </c>
      <c r="C168" t="s">
        <v>427</v>
      </c>
      <c r="D168" t="s">
        <v>8</v>
      </c>
      <c r="E168">
        <v>54</v>
      </c>
      <c r="F168" t="s">
        <v>154</v>
      </c>
      <c r="G168" t="s">
        <v>2</v>
      </c>
      <c r="H168">
        <v>56462.46</v>
      </c>
      <c r="I168" s="6">
        <v>44198</v>
      </c>
      <c r="J168">
        <v>5</v>
      </c>
      <c r="K168" t="s">
        <v>428</v>
      </c>
      <c r="L168" t="s">
        <v>19</v>
      </c>
      <c r="M168">
        <v>3</v>
      </c>
      <c r="N168" t="s">
        <v>1064</v>
      </c>
      <c r="O168" t="s">
        <v>1077</v>
      </c>
    </row>
    <row r="169" spans="1:15" x14ac:dyDescent="0.25">
      <c r="A169" t="s">
        <v>429</v>
      </c>
      <c r="B169" t="s">
        <v>6</v>
      </c>
      <c r="C169" t="s">
        <v>88</v>
      </c>
      <c r="D169" t="s">
        <v>8</v>
      </c>
      <c r="E169">
        <v>43</v>
      </c>
      <c r="F169" t="s">
        <v>142</v>
      </c>
      <c r="G169" t="s">
        <v>37</v>
      </c>
      <c r="H169">
        <v>70196</v>
      </c>
      <c r="I169" s="6">
        <v>40852</v>
      </c>
      <c r="J169">
        <v>14</v>
      </c>
      <c r="K169" t="s">
        <v>430</v>
      </c>
      <c r="L169" t="s">
        <v>39</v>
      </c>
      <c r="M169">
        <v>2</v>
      </c>
      <c r="N169" t="s">
        <v>1062</v>
      </c>
      <c r="O169" t="s">
        <v>1077</v>
      </c>
    </row>
    <row r="170" spans="1:15" x14ac:dyDescent="0.25">
      <c r="A170" t="s">
        <v>431</v>
      </c>
      <c r="B170" t="s">
        <v>232</v>
      </c>
      <c r="C170" t="s">
        <v>962</v>
      </c>
      <c r="D170" t="s">
        <v>23</v>
      </c>
      <c r="E170">
        <v>39</v>
      </c>
      <c r="F170" t="s">
        <v>203</v>
      </c>
      <c r="G170" t="s">
        <v>17</v>
      </c>
      <c r="H170">
        <v>63411</v>
      </c>
      <c r="I170" s="6">
        <v>43245</v>
      </c>
      <c r="J170">
        <v>8</v>
      </c>
      <c r="K170" t="s">
        <v>432</v>
      </c>
      <c r="L170" t="s">
        <v>19</v>
      </c>
      <c r="M170">
        <v>4</v>
      </c>
      <c r="N170" t="s">
        <v>1061</v>
      </c>
      <c r="O170" t="s">
        <v>1077</v>
      </c>
    </row>
    <row r="171" spans="1:15" x14ac:dyDescent="0.25">
      <c r="A171" t="s">
        <v>433</v>
      </c>
      <c r="B171" t="s">
        <v>316</v>
      </c>
      <c r="C171" t="s">
        <v>153</v>
      </c>
      <c r="D171" t="s">
        <v>8</v>
      </c>
      <c r="E171">
        <v>35</v>
      </c>
      <c r="F171" t="s">
        <v>32</v>
      </c>
      <c r="G171" t="s">
        <v>2</v>
      </c>
      <c r="H171">
        <v>119004</v>
      </c>
      <c r="I171" s="6">
        <v>44444</v>
      </c>
      <c r="J171">
        <v>5</v>
      </c>
      <c r="K171" t="s">
        <v>434</v>
      </c>
      <c r="L171" t="s">
        <v>14</v>
      </c>
      <c r="M171">
        <v>5</v>
      </c>
      <c r="N171" t="s">
        <v>1060</v>
      </c>
      <c r="O171" t="s">
        <v>1074</v>
      </c>
    </row>
    <row r="172" spans="1:15" x14ac:dyDescent="0.25">
      <c r="A172" t="s">
        <v>435</v>
      </c>
      <c r="B172" t="s">
        <v>62</v>
      </c>
      <c r="C172" t="s">
        <v>166</v>
      </c>
      <c r="D172" t="s">
        <v>1</v>
      </c>
      <c r="E172">
        <v>36</v>
      </c>
      <c r="F172" t="s">
        <v>203</v>
      </c>
      <c r="G172" t="s">
        <v>17</v>
      </c>
      <c r="H172">
        <v>58009.35</v>
      </c>
      <c r="I172" s="6">
        <v>40789</v>
      </c>
      <c r="J172">
        <v>15</v>
      </c>
      <c r="K172" t="s">
        <v>436</v>
      </c>
      <c r="L172" t="s">
        <v>107</v>
      </c>
      <c r="M172">
        <v>3</v>
      </c>
      <c r="N172" t="s">
        <v>1061</v>
      </c>
      <c r="O172" t="s">
        <v>1077</v>
      </c>
    </row>
    <row r="173" spans="1:15" x14ac:dyDescent="0.25">
      <c r="A173" t="s">
        <v>437</v>
      </c>
      <c r="B173" t="s">
        <v>184</v>
      </c>
      <c r="C173" t="s">
        <v>402</v>
      </c>
      <c r="D173" t="s">
        <v>23</v>
      </c>
      <c r="E173">
        <v>45</v>
      </c>
      <c r="F173" t="s">
        <v>142</v>
      </c>
      <c r="G173" t="s">
        <v>44</v>
      </c>
      <c r="H173">
        <v>55621</v>
      </c>
      <c r="I173" s="6">
        <v>40743</v>
      </c>
      <c r="J173">
        <v>15</v>
      </c>
      <c r="K173" t="s">
        <v>438</v>
      </c>
      <c r="L173" t="s">
        <v>65</v>
      </c>
      <c r="M173">
        <v>3</v>
      </c>
      <c r="N173" t="s">
        <v>1062</v>
      </c>
      <c r="O173" t="s">
        <v>1077</v>
      </c>
    </row>
    <row r="174" spans="1:15" x14ac:dyDescent="0.25">
      <c r="A174" t="s">
        <v>439</v>
      </c>
      <c r="B174" t="s">
        <v>184</v>
      </c>
      <c r="C174" t="s">
        <v>589</v>
      </c>
      <c r="D174" t="s">
        <v>1</v>
      </c>
      <c r="E174">
        <v>39</v>
      </c>
      <c r="F174" t="s">
        <v>32</v>
      </c>
      <c r="G174" t="s">
        <v>37</v>
      </c>
      <c r="H174">
        <v>89984.41</v>
      </c>
      <c r="I174" s="6">
        <v>45160</v>
      </c>
      <c r="J174">
        <v>3</v>
      </c>
      <c r="K174" t="s">
        <v>440</v>
      </c>
      <c r="L174" t="s">
        <v>85</v>
      </c>
      <c r="M174">
        <v>3</v>
      </c>
      <c r="N174" t="s">
        <v>1061</v>
      </c>
      <c r="O174" t="s">
        <v>1077</v>
      </c>
    </row>
    <row r="175" spans="1:15" x14ac:dyDescent="0.25">
      <c r="A175" t="s">
        <v>441</v>
      </c>
      <c r="B175" t="s">
        <v>184</v>
      </c>
      <c r="C175" t="s">
        <v>427</v>
      </c>
      <c r="D175" t="s">
        <v>1</v>
      </c>
      <c r="E175">
        <v>51</v>
      </c>
      <c r="F175" t="s">
        <v>313</v>
      </c>
      <c r="G175" t="s">
        <v>44</v>
      </c>
      <c r="H175">
        <v>89574.81</v>
      </c>
      <c r="I175" s="6">
        <v>38773</v>
      </c>
      <c r="J175">
        <v>20</v>
      </c>
      <c r="K175" t="s">
        <v>185</v>
      </c>
      <c r="L175" t="s">
        <v>14</v>
      </c>
      <c r="M175">
        <v>3</v>
      </c>
      <c r="N175" t="s">
        <v>1064</v>
      </c>
      <c r="O175" t="s">
        <v>1077</v>
      </c>
    </row>
    <row r="176" spans="1:15" x14ac:dyDescent="0.25">
      <c r="A176" t="s">
        <v>442</v>
      </c>
      <c r="B176" t="s">
        <v>79</v>
      </c>
      <c r="C176" t="s">
        <v>31</v>
      </c>
      <c r="D176" t="s">
        <v>23</v>
      </c>
      <c r="E176">
        <v>35</v>
      </c>
      <c r="F176" t="s">
        <v>181</v>
      </c>
      <c r="G176" t="s">
        <v>44</v>
      </c>
      <c r="H176">
        <v>56583</v>
      </c>
      <c r="I176" s="6">
        <v>43383</v>
      </c>
      <c r="J176">
        <v>8</v>
      </c>
      <c r="K176" t="s">
        <v>443</v>
      </c>
      <c r="L176" t="s">
        <v>19</v>
      </c>
      <c r="M176">
        <v>4</v>
      </c>
      <c r="N176" t="s">
        <v>1060</v>
      </c>
      <c r="O176" t="s">
        <v>1077</v>
      </c>
    </row>
    <row r="177" spans="1:15" x14ac:dyDescent="0.25">
      <c r="A177" t="s">
        <v>444</v>
      </c>
      <c r="B177" t="s">
        <v>633</v>
      </c>
      <c r="C177" t="s">
        <v>76</v>
      </c>
      <c r="D177" t="s">
        <v>8</v>
      </c>
      <c r="E177">
        <v>38</v>
      </c>
      <c r="F177" t="s">
        <v>133</v>
      </c>
      <c r="G177" t="s">
        <v>161</v>
      </c>
      <c r="H177">
        <v>126007</v>
      </c>
      <c r="I177" s="6">
        <v>39869</v>
      </c>
      <c r="J177">
        <v>17</v>
      </c>
      <c r="K177" t="s">
        <v>445</v>
      </c>
      <c r="L177" t="s">
        <v>4</v>
      </c>
      <c r="M177">
        <v>3</v>
      </c>
      <c r="N177" t="s">
        <v>1061</v>
      </c>
      <c r="O177" t="s">
        <v>1074</v>
      </c>
    </row>
    <row r="178" spans="1:15" x14ac:dyDescent="0.25">
      <c r="A178" t="s">
        <v>446</v>
      </c>
      <c r="B178" t="s">
        <v>282</v>
      </c>
      <c r="C178" t="s">
        <v>76</v>
      </c>
      <c r="D178" t="s">
        <v>8</v>
      </c>
      <c r="E178">
        <v>32</v>
      </c>
      <c r="F178" t="s">
        <v>32</v>
      </c>
      <c r="G178" t="s">
        <v>17</v>
      </c>
      <c r="H178">
        <v>78114</v>
      </c>
      <c r="I178" s="6">
        <v>44491</v>
      </c>
      <c r="J178">
        <v>4</v>
      </c>
      <c r="K178" t="s">
        <v>447</v>
      </c>
      <c r="L178" t="s">
        <v>65</v>
      </c>
      <c r="M178">
        <v>3</v>
      </c>
      <c r="N178" t="s">
        <v>1060</v>
      </c>
      <c r="O178" t="s">
        <v>1077</v>
      </c>
    </row>
    <row r="179" spans="1:15" x14ac:dyDescent="0.25">
      <c r="A179" t="s">
        <v>448</v>
      </c>
      <c r="B179" t="s">
        <v>321</v>
      </c>
      <c r="C179" t="s">
        <v>16</v>
      </c>
      <c r="D179" t="s">
        <v>8</v>
      </c>
      <c r="E179">
        <v>48</v>
      </c>
      <c r="F179" t="s">
        <v>181</v>
      </c>
      <c r="G179" t="s">
        <v>105</v>
      </c>
      <c r="H179">
        <v>93583</v>
      </c>
      <c r="I179" s="6">
        <v>45367</v>
      </c>
      <c r="J179">
        <v>2</v>
      </c>
      <c r="K179" t="s">
        <v>449</v>
      </c>
      <c r="L179" t="s">
        <v>49</v>
      </c>
      <c r="M179">
        <v>4</v>
      </c>
      <c r="N179" t="s">
        <v>1063</v>
      </c>
      <c r="O179" t="s">
        <v>1077</v>
      </c>
    </row>
    <row r="180" spans="1:15" x14ac:dyDescent="0.25">
      <c r="A180" t="s">
        <v>450</v>
      </c>
      <c r="B180" t="s">
        <v>451</v>
      </c>
      <c r="C180" t="s">
        <v>452</v>
      </c>
      <c r="D180" t="s">
        <v>1</v>
      </c>
      <c r="E180">
        <v>33</v>
      </c>
      <c r="F180" t="s">
        <v>295</v>
      </c>
      <c r="G180" t="s">
        <v>63</v>
      </c>
      <c r="H180">
        <v>77770.5</v>
      </c>
      <c r="I180" s="6">
        <v>42365</v>
      </c>
      <c r="J180">
        <v>10</v>
      </c>
      <c r="K180" t="s">
        <v>453</v>
      </c>
      <c r="L180" t="s">
        <v>11</v>
      </c>
      <c r="M180">
        <v>4</v>
      </c>
      <c r="N180" t="s">
        <v>1060</v>
      </c>
      <c r="O180" t="s">
        <v>1077</v>
      </c>
    </row>
    <row r="181" spans="1:15" x14ac:dyDescent="0.25">
      <c r="A181" t="s">
        <v>454</v>
      </c>
      <c r="B181" t="s">
        <v>43</v>
      </c>
      <c r="C181" t="s">
        <v>31</v>
      </c>
      <c r="D181" t="s">
        <v>8</v>
      </c>
      <c r="E181">
        <v>37</v>
      </c>
      <c r="F181" t="s">
        <v>181</v>
      </c>
      <c r="G181" t="s">
        <v>17</v>
      </c>
      <c r="H181">
        <v>50691</v>
      </c>
      <c r="I181" s="6">
        <v>41974</v>
      </c>
      <c r="J181">
        <v>11</v>
      </c>
      <c r="K181" t="s">
        <v>455</v>
      </c>
      <c r="L181" t="s">
        <v>207</v>
      </c>
      <c r="M181">
        <v>3</v>
      </c>
      <c r="N181" t="s">
        <v>1061</v>
      </c>
      <c r="O181" t="s">
        <v>1077</v>
      </c>
    </row>
    <row r="182" spans="1:15" x14ac:dyDescent="0.25">
      <c r="A182" t="s">
        <v>456</v>
      </c>
      <c r="B182" t="s">
        <v>282</v>
      </c>
      <c r="C182" t="s">
        <v>291</v>
      </c>
      <c r="D182" t="s">
        <v>8</v>
      </c>
      <c r="E182">
        <v>31</v>
      </c>
      <c r="F182" t="s">
        <v>295</v>
      </c>
      <c r="G182" t="s">
        <v>161</v>
      </c>
      <c r="H182">
        <v>156871</v>
      </c>
      <c r="I182" s="6">
        <v>42352</v>
      </c>
      <c r="J182">
        <v>10</v>
      </c>
      <c r="K182" t="s">
        <v>457</v>
      </c>
      <c r="L182" t="s">
        <v>120</v>
      </c>
      <c r="M182">
        <v>1</v>
      </c>
      <c r="N182" t="s">
        <v>1060</v>
      </c>
      <c r="O182" t="s">
        <v>1078</v>
      </c>
    </row>
    <row r="183" spans="1:15" x14ac:dyDescent="0.25">
      <c r="A183" t="s">
        <v>458</v>
      </c>
      <c r="B183" t="s">
        <v>184</v>
      </c>
      <c r="C183" t="s">
        <v>153</v>
      </c>
      <c r="D183" t="s">
        <v>8</v>
      </c>
      <c r="E183">
        <v>44</v>
      </c>
      <c r="F183" t="s">
        <v>1066</v>
      </c>
      <c r="G183" t="s">
        <v>17</v>
      </c>
      <c r="H183">
        <v>45611</v>
      </c>
      <c r="I183" s="6">
        <v>40822</v>
      </c>
      <c r="J183">
        <v>15</v>
      </c>
      <c r="K183" t="s">
        <v>459</v>
      </c>
      <c r="L183" t="s">
        <v>54</v>
      </c>
      <c r="M183">
        <v>4</v>
      </c>
      <c r="N183" t="s">
        <v>1062</v>
      </c>
      <c r="O183" t="s">
        <v>1076</v>
      </c>
    </row>
    <row r="184" spans="1:15" x14ac:dyDescent="0.25">
      <c r="A184" t="s">
        <v>460</v>
      </c>
      <c r="B184" t="s">
        <v>94</v>
      </c>
      <c r="C184" t="s">
        <v>104</v>
      </c>
      <c r="D184" t="s">
        <v>1</v>
      </c>
      <c r="E184">
        <v>46</v>
      </c>
      <c r="F184" t="s">
        <v>203</v>
      </c>
      <c r="G184" t="s">
        <v>100</v>
      </c>
      <c r="H184">
        <v>40920</v>
      </c>
      <c r="I184" s="6">
        <v>39833</v>
      </c>
      <c r="J184">
        <v>17</v>
      </c>
      <c r="K184" t="s">
        <v>461</v>
      </c>
      <c r="L184" t="s">
        <v>28</v>
      </c>
      <c r="M184">
        <v>4</v>
      </c>
      <c r="N184" t="s">
        <v>1063</v>
      </c>
      <c r="O184" t="s">
        <v>1076</v>
      </c>
    </row>
    <row r="185" spans="1:15" x14ac:dyDescent="0.25">
      <c r="A185" t="s">
        <v>462</v>
      </c>
      <c r="B185" t="s">
        <v>229</v>
      </c>
      <c r="C185" t="s">
        <v>291</v>
      </c>
      <c r="D185" t="s">
        <v>23</v>
      </c>
      <c r="E185">
        <v>43</v>
      </c>
      <c r="F185" t="s">
        <v>313</v>
      </c>
      <c r="G185" t="s">
        <v>17</v>
      </c>
      <c r="H185">
        <v>97204.87</v>
      </c>
      <c r="I185" s="6">
        <v>40412</v>
      </c>
      <c r="J185">
        <v>16</v>
      </c>
      <c r="K185" t="s">
        <v>463</v>
      </c>
      <c r="L185" t="s">
        <v>19</v>
      </c>
      <c r="M185">
        <v>2</v>
      </c>
      <c r="N185" t="s">
        <v>1062</v>
      </c>
      <c r="O185" t="s">
        <v>1077</v>
      </c>
    </row>
    <row r="186" spans="1:15" x14ac:dyDescent="0.25">
      <c r="A186" t="s">
        <v>464</v>
      </c>
      <c r="B186" t="s">
        <v>229</v>
      </c>
      <c r="C186" t="s">
        <v>22</v>
      </c>
      <c r="D186" t="s">
        <v>1</v>
      </c>
      <c r="E186">
        <v>38</v>
      </c>
      <c r="F186" t="s">
        <v>295</v>
      </c>
      <c r="G186" t="s">
        <v>17</v>
      </c>
      <c r="H186">
        <v>75247</v>
      </c>
      <c r="I186" s="6">
        <v>42970</v>
      </c>
      <c r="J186">
        <v>9</v>
      </c>
      <c r="K186" t="s">
        <v>465</v>
      </c>
      <c r="L186" t="s">
        <v>54</v>
      </c>
      <c r="M186">
        <v>3</v>
      </c>
      <c r="N186" t="s">
        <v>1061</v>
      </c>
      <c r="O186" t="s">
        <v>1077</v>
      </c>
    </row>
    <row r="187" spans="1:15" x14ac:dyDescent="0.25">
      <c r="A187" t="s">
        <v>466</v>
      </c>
      <c r="B187" t="s">
        <v>132</v>
      </c>
      <c r="C187" t="s">
        <v>375</v>
      </c>
      <c r="D187" t="s">
        <v>8</v>
      </c>
      <c r="E187">
        <v>41</v>
      </c>
      <c r="F187" t="s">
        <v>36</v>
      </c>
      <c r="G187" t="s">
        <v>44</v>
      </c>
      <c r="H187">
        <v>61835</v>
      </c>
      <c r="I187" s="6">
        <v>41111</v>
      </c>
      <c r="J187">
        <v>14</v>
      </c>
      <c r="K187" t="s">
        <v>467</v>
      </c>
      <c r="L187" t="s">
        <v>28</v>
      </c>
      <c r="M187">
        <v>5</v>
      </c>
      <c r="N187" t="s">
        <v>1062</v>
      </c>
      <c r="O187" t="s">
        <v>1077</v>
      </c>
    </row>
    <row r="188" spans="1:15" x14ac:dyDescent="0.25">
      <c r="A188" t="s">
        <v>468</v>
      </c>
      <c r="B188" t="s">
        <v>469</v>
      </c>
      <c r="C188" t="s">
        <v>291</v>
      </c>
      <c r="D188" t="s">
        <v>23</v>
      </c>
      <c r="E188">
        <v>32</v>
      </c>
      <c r="F188" t="s">
        <v>295</v>
      </c>
      <c r="G188" t="s">
        <v>44</v>
      </c>
      <c r="H188">
        <v>65732</v>
      </c>
      <c r="I188" s="6">
        <v>43311</v>
      </c>
      <c r="J188">
        <v>8</v>
      </c>
      <c r="K188" t="s">
        <v>470</v>
      </c>
      <c r="L188" t="s">
        <v>65</v>
      </c>
      <c r="M188">
        <v>2</v>
      </c>
      <c r="N188" t="s">
        <v>1060</v>
      </c>
      <c r="O188" t="s">
        <v>1077</v>
      </c>
    </row>
    <row r="189" spans="1:15" x14ac:dyDescent="0.25">
      <c r="A189" t="s">
        <v>471</v>
      </c>
      <c r="B189" t="s">
        <v>229</v>
      </c>
      <c r="C189" t="s">
        <v>124</v>
      </c>
      <c r="D189" t="s">
        <v>23</v>
      </c>
      <c r="E189">
        <v>40</v>
      </c>
      <c r="F189" t="s">
        <v>9</v>
      </c>
      <c r="G189" t="s">
        <v>2</v>
      </c>
      <c r="H189">
        <v>119000</v>
      </c>
      <c r="I189" s="6">
        <v>39472</v>
      </c>
      <c r="J189">
        <v>18</v>
      </c>
      <c r="K189" t="s">
        <v>472</v>
      </c>
      <c r="L189" t="s">
        <v>39</v>
      </c>
      <c r="M189">
        <v>5</v>
      </c>
      <c r="N189" t="s">
        <v>1061</v>
      </c>
      <c r="O189" t="s">
        <v>1074</v>
      </c>
    </row>
    <row r="190" spans="1:15" x14ac:dyDescent="0.25">
      <c r="A190" t="s">
        <v>473</v>
      </c>
      <c r="B190" t="s">
        <v>401</v>
      </c>
      <c r="C190" t="s">
        <v>351</v>
      </c>
      <c r="D190" t="s">
        <v>23</v>
      </c>
      <c r="E190">
        <v>34</v>
      </c>
      <c r="F190" t="s">
        <v>32</v>
      </c>
      <c r="G190" t="s">
        <v>17</v>
      </c>
      <c r="H190">
        <v>81223</v>
      </c>
      <c r="I190" s="6">
        <v>41338</v>
      </c>
      <c r="J190">
        <v>13</v>
      </c>
      <c r="K190" t="s">
        <v>474</v>
      </c>
      <c r="L190" t="s">
        <v>25</v>
      </c>
      <c r="M190">
        <v>4</v>
      </c>
      <c r="N190" t="s">
        <v>1060</v>
      </c>
      <c r="O190" t="s">
        <v>1077</v>
      </c>
    </row>
    <row r="191" spans="1:15" x14ac:dyDescent="0.25">
      <c r="A191" t="s">
        <v>475</v>
      </c>
      <c r="B191" t="s">
        <v>476</v>
      </c>
      <c r="C191" t="s">
        <v>138</v>
      </c>
      <c r="D191" t="s">
        <v>23</v>
      </c>
      <c r="E191">
        <v>48</v>
      </c>
      <c r="F191" t="s">
        <v>32</v>
      </c>
      <c r="G191" t="s">
        <v>105</v>
      </c>
      <c r="H191">
        <v>119523.56</v>
      </c>
      <c r="I191" s="6">
        <v>39690</v>
      </c>
      <c r="J191">
        <v>18</v>
      </c>
      <c r="K191" t="s">
        <v>477</v>
      </c>
      <c r="L191" t="s">
        <v>120</v>
      </c>
      <c r="M191">
        <v>5</v>
      </c>
      <c r="N191" t="s">
        <v>1063</v>
      </c>
      <c r="O191" t="s">
        <v>1074</v>
      </c>
    </row>
    <row r="192" spans="1:15" x14ac:dyDescent="0.25">
      <c r="A192" t="s">
        <v>478</v>
      </c>
      <c r="B192" t="s">
        <v>633</v>
      </c>
      <c r="C192" t="s">
        <v>402</v>
      </c>
      <c r="D192" t="s">
        <v>23</v>
      </c>
      <c r="E192">
        <v>43</v>
      </c>
      <c r="F192" t="s">
        <v>1066</v>
      </c>
      <c r="G192" t="s">
        <v>44</v>
      </c>
      <c r="H192">
        <v>66020</v>
      </c>
      <c r="I192" s="6">
        <v>40643</v>
      </c>
      <c r="J192">
        <v>15</v>
      </c>
      <c r="K192" t="s">
        <v>479</v>
      </c>
      <c r="L192" t="s">
        <v>39</v>
      </c>
      <c r="M192">
        <v>3</v>
      </c>
      <c r="N192" t="s">
        <v>1062</v>
      </c>
      <c r="O192" t="s">
        <v>1077</v>
      </c>
    </row>
    <row r="193" spans="1:15" x14ac:dyDescent="0.25">
      <c r="A193" t="s">
        <v>480</v>
      </c>
      <c r="B193" t="s">
        <v>374</v>
      </c>
      <c r="C193" t="s">
        <v>427</v>
      </c>
      <c r="D193" t="s">
        <v>1</v>
      </c>
      <c r="E193">
        <v>39</v>
      </c>
      <c r="F193" t="s">
        <v>1066</v>
      </c>
      <c r="G193" t="s">
        <v>37</v>
      </c>
      <c r="H193">
        <v>51998.15</v>
      </c>
      <c r="I193" s="6">
        <v>40749</v>
      </c>
      <c r="J193">
        <v>15</v>
      </c>
      <c r="K193" t="s">
        <v>481</v>
      </c>
      <c r="L193" t="s">
        <v>14</v>
      </c>
      <c r="M193">
        <v>3</v>
      </c>
      <c r="N193" t="s">
        <v>1061</v>
      </c>
      <c r="O193" t="s">
        <v>1077</v>
      </c>
    </row>
    <row r="194" spans="1:15" x14ac:dyDescent="0.25">
      <c r="A194" t="s">
        <v>482</v>
      </c>
      <c r="B194" t="s">
        <v>127</v>
      </c>
      <c r="C194" t="s">
        <v>222</v>
      </c>
      <c r="D194" t="s">
        <v>8</v>
      </c>
      <c r="E194">
        <v>35</v>
      </c>
      <c r="F194" t="s">
        <v>313</v>
      </c>
      <c r="G194" t="s">
        <v>44</v>
      </c>
      <c r="H194">
        <v>93423.5</v>
      </c>
      <c r="I194" s="6">
        <v>42009</v>
      </c>
      <c r="J194">
        <v>11</v>
      </c>
      <c r="K194" t="s">
        <v>483</v>
      </c>
      <c r="L194" t="s">
        <v>11</v>
      </c>
      <c r="M194">
        <v>4</v>
      </c>
      <c r="N194" t="s">
        <v>1060</v>
      </c>
      <c r="O194" t="s">
        <v>1077</v>
      </c>
    </row>
    <row r="195" spans="1:15" x14ac:dyDescent="0.25">
      <c r="A195" t="s">
        <v>484</v>
      </c>
      <c r="B195" t="s">
        <v>355</v>
      </c>
      <c r="C195" t="s">
        <v>485</v>
      </c>
      <c r="D195" t="s">
        <v>8</v>
      </c>
      <c r="E195">
        <v>46</v>
      </c>
      <c r="F195" t="s">
        <v>133</v>
      </c>
      <c r="G195" t="s">
        <v>17</v>
      </c>
      <c r="H195">
        <v>55811</v>
      </c>
      <c r="I195" s="6">
        <v>44576</v>
      </c>
      <c r="J195">
        <v>4</v>
      </c>
      <c r="K195" t="s">
        <v>486</v>
      </c>
      <c r="L195" t="s">
        <v>85</v>
      </c>
      <c r="M195">
        <v>4</v>
      </c>
      <c r="N195" t="s">
        <v>1063</v>
      </c>
      <c r="O195" t="s">
        <v>1077</v>
      </c>
    </row>
    <row r="196" spans="1:15" x14ac:dyDescent="0.25">
      <c r="A196" t="s">
        <v>487</v>
      </c>
      <c r="B196" t="s">
        <v>714</v>
      </c>
      <c r="C196" t="s">
        <v>118</v>
      </c>
      <c r="D196" t="s">
        <v>1</v>
      </c>
      <c r="E196">
        <v>49</v>
      </c>
      <c r="F196" t="s">
        <v>313</v>
      </c>
      <c r="G196" t="s">
        <v>2</v>
      </c>
      <c r="H196">
        <v>131470</v>
      </c>
      <c r="I196" s="6">
        <v>40920</v>
      </c>
      <c r="J196">
        <v>14</v>
      </c>
      <c r="K196" t="s">
        <v>488</v>
      </c>
      <c r="L196" t="s">
        <v>19</v>
      </c>
      <c r="M196">
        <v>5</v>
      </c>
      <c r="N196" t="s">
        <v>1063</v>
      </c>
      <c r="O196" t="s">
        <v>1074</v>
      </c>
    </row>
    <row r="197" spans="1:15" x14ac:dyDescent="0.25">
      <c r="A197" t="s">
        <v>489</v>
      </c>
      <c r="B197" t="s">
        <v>355</v>
      </c>
      <c r="C197" t="s">
        <v>83</v>
      </c>
      <c r="D197" t="s">
        <v>8</v>
      </c>
      <c r="E197">
        <v>41</v>
      </c>
      <c r="F197" t="s">
        <v>154</v>
      </c>
      <c r="G197" t="s">
        <v>37</v>
      </c>
      <c r="H197">
        <v>58562.02</v>
      </c>
      <c r="I197" s="6">
        <v>40002</v>
      </c>
      <c r="J197">
        <v>17</v>
      </c>
      <c r="K197" t="s">
        <v>490</v>
      </c>
      <c r="L197" t="s">
        <v>25</v>
      </c>
      <c r="M197">
        <v>4</v>
      </c>
      <c r="N197" t="s">
        <v>1062</v>
      </c>
      <c r="O197" t="s">
        <v>1077</v>
      </c>
    </row>
    <row r="198" spans="1:15" x14ac:dyDescent="0.25">
      <c r="A198" t="s">
        <v>491</v>
      </c>
      <c r="B198" t="s">
        <v>469</v>
      </c>
      <c r="C198" t="s">
        <v>452</v>
      </c>
      <c r="D198" t="s">
        <v>8</v>
      </c>
      <c r="E198">
        <v>49</v>
      </c>
      <c r="F198" t="s">
        <v>133</v>
      </c>
      <c r="G198" t="s">
        <v>161</v>
      </c>
      <c r="H198">
        <v>113555</v>
      </c>
      <c r="I198" s="6">
        <v>40045</v>
      </c>
      <c r="J198">
        <v>17</v>
      </c>
      <c r="K198" t="s">
        <v>492</v>
      </c>
      <c r="L198" t="s">
        <v>107</v>
      </c>
      <c r="M198">
        <v>3</v>
      </c>
      <c r="N198" t="s">
        <v>1063</v>
      </c>
      <c r="O198" t="s">
        <v>1074</v>
      </c>
    </row>
    <row r="199" spans="1:15" x14ac:dyDescent="0.25">
      <c r="A199" t="s">
        <v>493</v>
      </c>
      <c r="B199" t="s">
        <v>714</v>
      </c>
      <c r="C199" t="s">
        <v>83</v>
      </c>
      <c r="D199" t="s">
        <v>1</v>
      </c>
      <c r="E199">
        <v>55</v>
      </c>
      <c r="F199" t="s">
        <v>32</v>
      </c>
      <c r="G199" t="s">
        <v>2</v>
      </c>
      <c r="H199">
        <v>116330</v>
      </c>
      <c r="I199" s="6"/>
      <c r="K199" t="s">
        <v>494</v>
      </c>
      <c r="L199" t="s">
        <v>65</v>
      </c>
      <c r="M199">
        <v>5</v>
      </c>
      <c r="N199" t="s">
        <v>1064</v>
      </c>
      <c r="O199" t="s">
        <v>1074</v>
      </c>
    </row>
    <row r="200" spans="1:15" x14ac:dyDescent="0.25">
      <c r="A200" t="s">
        <v>495</v>
      </c>
      <c r="B200" t="s">
        <v>221</v>
      </c>
      <c r="C200" t="s">
        <v>169</v>
      </c>
      <c r="D200" t="s">
        <v>8</v>
      </c>
      <c r="E200">
        <v>29</v>
      </c>
      <c r="F200" t="s">
        <v>133</v>
      </c>
      <c r="G200" t="s">
        <v>2</v>
      </c>
      <c r="H200">
        <v>89636</v>
      </c>
      <c r="I200" s="6"/>
      <c r="K200" t="s">
        <v>496</v>
      </c>
      <c r="L200" t="s">
        <v>207</v>
      </c>
      <c r="M200">
        <v>4</v>
      </c>
      <c r="N200" t="s">
        <v>1075</v>
      </c>
      <c r="O200" t="s">
        <v>1077</v>
      </c>
    </row>
    <row r="201" spans="1:15" x14ac:dyDescent="0.25">
      <c r="A201" t="s">
        <v>497</v>
      </c>
      <c r="B201" t="s">
        <v>47</v>
      </c>
      <c r="C201" t="s">
        <v>375</v>
      </c>
      <c r="D201" t="s">
        <v>23</v>
      </c>
      <c r="E201">
        <v>43</v>
      </c>
      <c r="F201" t="s">
        <v>295</v>
      </c>
      <c r="G201" t="s">
        <v>44</v>
      </c>
      <c r="H201">
        <v>60001</v>
      </c>
      <c r="I201" s="6">
        <v>42591</v>
      </c>
      <c r="J201">
        <v>10</v>
      </c>
      <c r="K201" t="s">
        <v>498</v>
      </c>
      <c r="L201" t="s">
        <v>120</v>
      </c>
      <c r="M201">
        <v>3</v>
      </c>
      <c r="N201" t="s">
        <v>1062</v>
      </c>
      <c r="O201" t="s">
        <v>1077</v>
      </c>
    </row>
    <row r="202" spans="1:15" x14ac:dyDescent="0.25">
      <c r="A202" t="s">
        <v>499</v>
      </c>
      <c r="B202" t="s">
        <v>62</v>
      </c>
      <c r="C202" t="s">
        <v>7</v>
      </c>
      <c r="D202" t="s">
        <v>8</v>
      </c>
      <c r="E202">
        <v>64</v>
      </c>
      <c r="F202" t="s">
        <v>154</v>
      </c>
      <c r="G202" t="s">
        <v>17</v>
      </c>
      <c r="H202">
        <v>41791.5</v>
      </c>
      <c r="I202" s="6">
        <v>40650</v>
      </c>
      <c r="J202">
        <v>15</v>
      </c>
      <c r="K202" t="s">
        <v>500</v>
      </c>
      <c r="L202" t="s">
        <v>65</v>
      </c>
      <c r="M202">
        <v>3</v>
      </c>
      <c r="N202" t="s">
        <v>1080</v>
      </c>
      <c r="O202" t="s">
        <v>1076</v>
      </c>
    </row>
    <row r="203" spans="1:15" x14ac:dyDescent="0.25">
      <c r="A203" t="s">
        <v>501</v>
      </c>
      <c r="B203" t="s">
        <v>229</v>
      </c>
      <c r="C203" t="s">
        <v>31</v>
      </c>
      <c r="D203" t="s">
        <v>8</v>
      </c>
      <c r="E203">
        <v>39</v>
      </c>
      <c r="F203" t="s">
        <v>36</v>
      </c>
      <c r="G203" t="s">
        <v>17</v>
      </c>
      <c r="H203">
        <v>84751</v>
      </c>
      <c r="I203" s="6">
        <v>41536</v>
      </c>
      <c r="J203">
        <v>13</v>
      </c>
      <c r="K203" t="s">
        <v>502</v>
      </c>
      <c r="L203" t="s">
        <v>54</v>
      </c>
      <c r="M203">
        <v>3</v>
      </c>
      <c r="N203" t="s">
        <v>1061</v>
      </c>
      <c r="O203" t="s">
        <v>1077</v>
      </c>
    </row>
    <row r="204" spans="1:15" x14ac:dyDescent="0.25">
      <c r="A204" t="s">
        <v>503</v>
      </c>
      <c r="B204" t="s">
        <v>103</v>
      </c>
      <c r="C204" t="s">
        <v>356</v>
      </c>
      <c r="D204" t="s">
        <v>8</v>
      </c>
      <c r="E204">
        <v>63</v>
      </c>
      <c r="F204" t="s">
        <v>9</v>
      </c>
      <c r="G204" t="s">
        <v>44</v>
      </c>
      <c r="H204">
        <v>79714</v>
      </c>
      <c r="I204" s="6">
        <v>41241</v>
      </c>
      <c r="J204">
        <v>13</v>
      </c>
      <c r="K204" t="s">
        <v>504</v>
      </c>
      <c r="L204" t="s">
        <v>107</v>
      </c>
      <c r="M204">
        <v>4</v>
      </c>
      <c r="N204" t="s">
        <v>1080</v>
      </c>
      <c r="O204" t="s">
        <v>1077</v>
      </c>
    </row>
    <row r="205" spans="1:15" x14ac:dyDescent="0.25">
      <c r="A205" t="s">
        <v>505</v>
      </c>
      <c r="B205" t="s">
        <v>94</v>
      </c>
      <c r="C205" t="s">
        <v>222</v>
      </c>
      <c r="D205" t="s">
        <v>8</v>
      </c>
      <c r="E205">
        <v>54</v>
      </c>
      <c r="F205" t="s">
        <v>313</v>
      </c>
      <c r="G205" t="s">
        <v>17</v>
      </c>
      <c r="H205">
        <v>91809</v>
      </c>
      <c r="I205" s="6">
        <v>38760</v>
      </c>
      <c r="J205">
        <v>20</v>
      </c>
      <c r="K205" t="s">
        <v>506</v>
      </c>
      <c r="L205" t="s">
        <v>65</v>
      </c>
      <c r="M205">
        <v>3</v>
      </c>
      <c r="N205" t="s">
        <v>1064</v>
      </c>
      <c r="O205" t="s">
        <v>1077</v>
      </c>
    </row>
    <row r="206" spans="1:15" x14ac:dyDescent="0.25">
      <c r="A206" t="s">
        <v>507</v>
      </c>
      <c r="B206" t="s">
        <v>6</v>
      </c>
      <c r="C206" t="s">
        <v>118</v>
      </c>
      <c r="D206" t="s">
        <v>23</v>
      </c>
      <c r="E206">
        <v>41</v>
      </c>
      <c r="F206" t="s">
        <v>133</v>
      </c>
      <c r="G206" t="s">
        <v>37</v>
      </c>
      <c r="H206">
        <v>67072</v>
      </c>
      <c r="I206" s="6">
        <v>40658</v>
      </c>
      <c r="J206">
        <v>15</v>
      </c>
      <c r="K206" t="s">
        <v>508</v>
      </c>
      <c r="L206" t="s">
        <v>19</v>
      </c>
      <c r="M206">
        <v>4</v>
      </c>
      <c r="N206" t="s">
        <v>1062</v>
      </c>
      <c r="O206" t="s">
        <v>1077</v>
      </c>
    </row>
    <row r="207" spans="1:15" x14ac:dyDescent="0.25">
      <c r="A207" t="s">
        <v>509</v>
      </c>
      <c r="B207" t="s">
        <v>714</v>
      </c>
      <c r="C207" t="s">
        <v>104</v>
      </c>
      <c r="D207" t="s">
        <v>8</v>
      </c>
      <c r="E207">
        <v>43</v>
      </c>
      <c r="F207" t="s">
        <v>203</v>
      </c>
      <c r="G207" t="s">
        <v>44</v>
      </c>
      <c r="H207">
        <v>51595</v>
      </c>
      <c r="I207" s="6">
        <v>40927</v>
      </c>
      <c r="J207">
        <v>14</v>
      </c>
      <c r="K207" t="s">
        <v>510</v>
      </c>
      <c r="L207" t="s">
        <v>207</v>
      </c>
      <c r="M207">
        <v>3</v>
      </c>
      <c r="N207" t="s">
        <v>1062</v>
      </c>
      <c r="O207" t="s">
        <v>1077</v>
      </c>
    </row>
    <row r="208" spans="1:15" x14ac:dyDescent="0.25">
      <c r="A208" t="s">
        <v>511</v>
      </c>
      <c r="B208" t="s">
        <v>99</v>
      </c>
      <c r="C208" t="s">
        <v>141</v>
      </c>
      <c r="D208" t="s">
        <v>8</v>
      </c>
      <c r="E208">
        <v>37</v>
      </c>
      <c r="F208" t="s">
        <v>36</v>
      </c>
      <c r="G208" t="s">
        <v>44</v>
      </c>
      <c r="H208">
        <v>83842</v>
      </c>
      <c r="I208" s="6">
        <v>41801</v>
      </c>
      <c r="J208">
        <v>12</v>
      </c>
      <c r="K208" t="s">
        <v>512</v>
      </c>
      <c r="L208" t="s">
        <v>65</v>
      </c>
      <c r="M208">
        <v>5</v>
      </c>
      <c r="N208" t="s">
        <v>1061</v>
      </c>
      <c r="O208" t="s">
        <v>1077</v>
      </c>
    </row>
    <row r="209" spans="1:15" x14ac:dyDescent="0.25">
      <c r="A209" t="s">
        <v>513</v>
      </c>
      <c r="B209" t="s">
        <v>514</v>
      </c>
      <c r="C209" t="s">
        <v>351</v>
      </c>
      <c r="D209" t="s">
        <v>8</v>
      </c>
      <c r="E209">
        <v>46</v>
      </c>
      <c r="F209" t="s">
        <v>1066</v>
      </c>
      <c r="G209" t="s">
        <v>216</v>
      </c>
      <c r="H209">
        <v>131093</v>
      </c>
      <c r="I209" s="6">
        <v>40386</v>
      </c>
      <c r="J209">
        <v>16</v>
      </c>
      <c r="K209" t="s">
        <v>515</v>
      </c>
      <c r="L209" t="s">
        <v>207</v>
      </c>
      <c r="M209">
        <v>4</v>
      </c>
      <c r="N209" t="s">
        <v>1063</v>
      </c>
      <c r="O209" t="s">
        <v>1074</v>
      </c>
    </row>
    <row r="210" spans="1:15" x14ac:dyDescent="0.25">
      <c r="A210" t="s">
        <v>516</v>
      </c>
      <c r="B210" t="s">
        <v>47</v>
      </c>
      <c r="C210" t="s">
        <v>16</v>
      </c>
      <c r="D210" t="s">
        <v>23</v>
      </c>
      <c r="E210">
        <v>55</v>
      </c>
      <c r="F210" t="s">
        <v>133</v>
      </c>
      <c r="G210" t="s">
        <v>44</v>
      </c>
      <c r="H210">
        <v>55654</v>
      </c>
      <c r="I210" s="6">
        <v>38412</v>
      </c>
      <c r="J210">
        <v>21</v>
      </c>
      <c r="K210" t="s">
        <v>48</v>
      </c>
      <c r="L210" t="s">
        <v>11</v>
      </c>
      <c r="M210">
        <v>4</v>
      </c>
      <c r="N210" t="s">
        <v>1064</v>
      </c>
      <c r="O210" t="s">
        <v>1077</v>
      </c>
    </row>
    <row r="211" spans="1:15" x14ac:dyDescent="0.25">
      <c r="A211" t="s">
        <v>517</v>
      </c>
      <c r="B211" t="s">
        <v>476</v>
      </c>
      <c r="C211" t="s">
        <v>291</v>
      </c>
      <c r="D211" t="s">
        <v>8</v>
      </c>
      <c r="E211">
        <v>48</v>
      </c>
      <c r="F211" t="s">
        <v>313</v>
      </c>
      <c r="G211" t="s">
        <v>44</v>
      </c>
      <c r="H211">
        <v>87644.53</v>
      </c>
      <c r="I211" s="6">
        <v>39939</v>
      </c>
      <c r="J211">
        <v>17</v>
      </c>
      <c r="K211" t="s">
        <v>518</v>
      </c>
      <c r="L211" t="s">
        <v>4</v>
      </c>
      <c r="M211">
        <v>4</v>
      </c>
      <c r="N211" t="s">
        <v>1063</v>
      </c>
      <c r="O211" t="s">
        <v>1077</v>
      </c>
    </row>
    <row r="212" spans="1:15" x14ac:dyDescent="0.25">
      <c r="A212" t="s">
        <v>519</v>
      </c>
      <c r="B212" t="s">
        <v>94</v>
      </c>
      <c r="C212" t="s">
        <v>59</v>
      </c>
      <c r="D212" t="s">
        <v>1</v>
      </c>
      <c r="E212">
        <v>52</v>
      </c>
      <c r="F212" t="s">
        <v>32</v>
      </c>
      <c r="G212" t="s">
        <v>17</v>
      </c>
      <c r="H212">
        <v>75022</v>
      </c>
      <c r="I212" s="6">
        <v>45449</v>
      </c>
      <c r="J212">
        <v>2</v>
      </c>
      <c r="K212" t="s">
        <v>520</v>
      </c>
      <c r="L212" t="s">
        <v>120</v>
      </c>
      <c r="M212">
        <v>2</v>
      </c>
      <c r="N212" t="s">
        <v>1064</v>
      </c>
      <c r="O212" t="s">
        <v>1077</v>
      </c>
    </row>
    <row r="213" spans="1:15" x14ac:dyDescent="0.25">
      <c r="A213" t="s">
        <v>521</v>
      </c>
      <c r="B213" t="s">
        <v>30</v>
      </c>
      <c r="C213" t="s">
        <v>169</v>
      </c>
      <c r="D213" t="s">
        <v>23</v>
      </c>
      <c r="E213">
        <v>30</v>
      </c>
      <c r="F213" t="s">
        <v>133</v>
      </c>
      <c r="G213" t="s">
        <v>44</v>
      </c>
      <c r="H213">
        <v>54529.24</v>
      </c>
      <c r="I213" s="6">
        <v>43908</v>
      </c>
      <c r="J213">
        <v>6</v>
      </c>
      <c r="K213" t="s">
        <v>522</v>
      </c>
      <c r="L213" t="s">
        <v>28</v>
      </c>
      <c r="M213">
        <v>5</v>
      </c>
      <c r="N213" t="s">
        <v>1075</v>
      </c>
      <c r="O213" t="s">
        <v>1077</v>
      </c>
    </row>
    <row r="214" spans="1:15" x14ac:dyDescent="0.25">
      <c r="A214" t="s">
        <v>523</v>
      </c>
      <c r="B214" t="s">
        <v>374</v>
      </c>
      <c r="C214" t="s">
        <v>269</v>
      </c>
      <c r="D214" t="s">
        <v>1</v>
      </c>
      <c r="E214">
        <v>52</v>
      </c>
      <c r="F214" t="s">
        <v>203</v>
      </c>
      <c r="G214" t="s">
        <v>2</v>
      </c>
      <c r="H214">
        <v>84375</v>
      </c>
      <c r="I214" s="6">
        <v>38623</v>
      </c>
      <c r="J214">
        <v>21</v>
      </c>
      <c r="K214" t="s">
        <v>524</v>
      </c>
      <c r="L214" t="s">
        <v>11</v>
      </c>
      <c r="M214">
        <v>5</v>
      </c>
      <c r="N214" t="s">
        <v>1064</v>
      </c>
      <c r="O214" t="s">
        <v>1077</v>
      </c>
    </row>
    <row r="215" spans="1:15" x14ac:dyDescent="0.25">
      <c r="A215" t="s">
        <v>525</v>
      </c>
      <c r="B215" t="s">
        <v>56</v>
      </c>
      <c r="C215" t="s">
        <v>141</v>
      </c>
      <c r="D215" t="s">
        <v>8</v>
      </c>
      <c r="E215">
        <v>49</v>
      </c>
      <c r="F215" t="s">
        <v>32</v>
      </c>
      <c r="G215" t="s">
        <v>44</v>
      </c>
      <c r="H215">
        <v>66820</v>
      </c>
      <c r="I215" s="6">
        <v>41165</v>
      </c>
      <c r="J215">
        <v>14</v>
      </c>
      <c r="K215" t="s">
        <v>526</v>
      </c>
      <c r="L215" t="s">
        <v>120</v>
      </c>
      <c r="M215">
        <v>3</v>
      </c>
      <c r="N215" t="s">
        <v>1063</v>
      </c>
      <c r="O215" t="s">
        <v>1077</v>
      </c>
    </row>
    <row r="216" spans="1:15" x14ac:dyDescent="0.25">
      <c r="A216" t="s">
        <v>527</v>
      </c>
      <c r="B216" t="s">
        <v>103</v>
      </c>
      <c r="C216" t="s">
        <v>291</v>
      </c>
      <c r="D216" t="s">
        <v>23</v>
      </c>
      <c r="E216">
        <v>40</v>
      </c>
      <c r="F216" t="s">
        <v>36</v>
      </c>
      <c r="G216" t="s">
        <v>2</v>
      </c>
      <c r="H216">
        <v>122259</v>
      </c>
      <c r="I216" s="6">
        <v>39544</v>
      </c>
      <c r="J216">
        <v>18</v>
      </c>
      <c r="K216" t="s">
        <v>528</v>
      </c>
      <c r="L216" t="s">
        <v>28</v>
      </c>
      <c r="M216">
        <v>3</v>
      </c>
      <c r="N216" t="s">
        <v>1061</v>
      </c>
      <c r="O216" t="s">
        <v>1074</v>
      </c>
    </row>
    <row r="217" spans="1:15" x14ac:dyDescent="0.25">
      <c r="A217" t="s">
        <v>529</v>
      </c>
      <c r="B217" t="s">
        <v>530</v>
      </c>
      <c r="C217" t="s">
        <v>263</v>
      </c>
      <c r="D217" t="s">
        <v>1</v>
      </c>
      <c r="E217">
        <v>42</v>
      </c>
      <c r="F217" t="s">
        <v>313</v>
      </c>
      <c r="G217" t="s">
        <v>105</v>
      </c>
      <c r="H217">
        <v>164038</v>
      </c>
      <c r="I217" s="6">
        <v>44360</v>
      </c>
      <c r="J217">
        <v>5</v>
      </c>
      <c r="K217" t="s">
        <v>531</v>
      </c>
      <c r="L217" t="s">
        <v>25</v>
      </c>
      <c r="M217">
        <v>5</v>
      </c>
      <c r="N217" t="s">
        <v>1062</v>
      </c>
      <c r="O217" t="s">
        <v>1078</v>
      </c>
    </row>
    <row r="218" spans="1:15" x14ac:dyDescent="0.25">
      <c r="A218" t="s">
        <v>532</v>
      </c>
      <c r="B218" t="s">
        <v>229</v>
      </c>
      <c r="C218" t="s">
        <v>59</v>
      </c>
      <c r="D218" t="s">
        <v>8</v>
      </c>
      <c r="E218">
        <v>49</v>
      </c>
      <c r="F218" t="s">
        <v>1066</v>
      </c>
      <c r="G218" t="s">
        <v>216</v>
      </c>
      <c r="H218">
        <v>243206</v>
      </c>
      <c r="I218" s="6">
        <v>45247</v>
      </c>
      <c r="J218">
        <v>2</v>
      </c>
      <c r="K218" t="s">
        <v>533</v>
      </c>
      <c r="L218" t="s">
        <v>120</v>
      </c>
      <c r="M218">
        <v>2</v>
      </c>
      <c r="N218" t="s">
        <v>1063</v>
      </c>
      <c r="O218" t="s">
        <v>1079</v>
      </c>
    </row>
    <row r="219" spans="1:15" x14ac:dyDescent="0.25">
      <c r="A219" t="s">
        <v>534</v>
      </c>
      <c r="B219" t="s">
        <v>127</v>
      </c>
      <c r="C219" t="s">
        <v>16</v>
      </c>
      <c r="D219" t="s">
        <v>8</v>
      </c>
      <c r="E219">
        <v>48</v>
      </c>
      <c r="F219" t="s">
        <v>313</v>
      </c>
      <c r="G219" t="s">
        <v>2</v>
      </c>
      <c r="H219">
        <v>131470</v>
      </c>
      <c r="I219" s="6">
        <v>41682</v>
      </c>
      <c r="J219">
        <v>12</v>
      </c>
      <c r="K219" t="s">
        <v>535</v>
      </c>
      <c r="L219" t="s">
        <v>39</v>
      </c>
      <c r="M219">
        <v>3</v>
      </c>
      <c r="N219" t="s">
        <v>1063</v>
      </c>
      <c r="O219" t="s">
        <v>1074</v>
      </c>
    </row>
    <row r="220" spans="1:15" x14ac:dyDescent="0.25">
      <c r="A220" t="s">
        <v>536</v>
      </c>
      <c r="B220" t="s">
        <v>6</v>
      </c>
      <c r="C220" t="s">
        <v>83</v>
      </c>
      <c r="D220" t="s">
        <v>1</v>
      </c>
      <c r="E220">
        <v>25</v>
      </c>
      <c r="F220" t="s">
        <v>154</v>
      </c>
      <c r="G220" t="s">
        <v>100</v>
      </c>
      <c r="H220">
        <v>36674</v>
      </c>
      <c r="I220" s="6">
        <v>45263</v>
      </c>
      <c r="J220">
        <v>2</v>
      </c>
      <c r="K220" t="s">
        <v>84</v>
      </c>
      <c r="L220" t="s">
        <v>54</v>
      </c>
      <c r="M220">
        <v>3</v>
      </c>
      <c r="N220" t="s">
        <v>1075</v>
      </c>
      <c r="O220" t="s">
        <v>1076</v>
      </c>
    </row>
    <row r="221" spans="1:15" x14ac:dyDescent="0.25">
      <c r="A221" t="s">
        <v>537</v>
      </c>
      <c r="B221" t="s">
        <v>282</v>
      </c>
      <c r="C221" t="s">
        <v>269</v>
      </c>
      <c r="D221" t="s">
        <v>23</v>
      </c>
      <c r="E221">
        <v>33</v>
      </c>
      <c r="F221" t="s">
        <v>313</v>
      </c>
      <c r="G221" t="s">
        <v>17</v>
      </c>
      <c r="H221">
        <v>89248</v>
      </c>
      <c r="I221" s="6">
        <v>43472</v>
      </c>
      <c r="J221">
        <v>7</v>
      </c>
      <c r="K221" t="s">
        <v>538</v>
      </c>
      <c r="L221" t="s">
        <v>107</v>
      </c>
      <c r="M221">
        <v>3</v>
      </c>
      <c r="N221" t="s">
        <v>1060</v>
      </c>
      <c r="O221" t="s">
        <v>1077</v>
      </c>
    </row>
    <row r="222" spans="1:15" x14ac:dyDescent="0.25">
      <c r="A222" t="s">
        <v>539</v>
      </c>
      <c r="B222" t="s">
        <v>221</v>
      </c>
      <c r="C222" t="s">
        <v>427</v>
      </c>
      <c r="D222" t="s">
        <v>1</v>
      </c>
      <c r="E222">
        <v>47</v>
      </c>
      <c r="F222" t="s">
        <v>36</v>
      </c>
      <c r="G222" t="s">
        <v>63</v>
      </c>
      <c r="H222">
        <v>88537</v>
      </c>
      <c r="I222" s="6">
        <v>38697</v>
      </c>
      <c r="J222">
        <v>20</v>
      </c>
      <c r="K222" t="s">
        <v>540</v>
      </c>
      <c r="L222" t="s">
        <v>14</v>
      </c>
      <c r="M222">
        <v>4</v>
      </c>
      <c r="N222" t="s">
        <v>1063</v>
      </c>
      <c r="O222" t="s">
        <v>1077</v>
      </c>
    </row>
    <row r="223" spans="1:15" x14ac:dyDescent="0.25">
      <c r="A223" t="s">
        <v>541</v>
      </c>
      <c r="B223" t="s">
        <v>30</v>
      </c>
      <c r="C223" t="s">
        <v>402</v>
      </c>
      <c r="D223" t="s">
        <v>1</v>
      </c>
      <c r="E223">
        <v>41</v>
      </c>
      <c r="F223" t="s">
        <v>142</v>
      </c>
      <c r="G223" t="s">
        <v>37</v>
      </c>
      <c r="H223">
        <v>73797</v>
      </c>
      <c r="I223" s="6">
        <v>44443</v>
      </c>
      <c r="J223">
        <v>5</v>
      </c>
      <c r="K223" t="s">
        <v>542</v>
      </c>
      <c r="L223" t="s">
        <v>120</v>
      </c>
      <c r="M223">
        <v>4</v>
      </c>
      <c r="N223" t="s">
        <v>1062</v>
      </c>
      <c r="O223" t="s">
        <v>1077</v>
      </c>
    </row>
    <row r="224" spans="1:15" x14ac:dyDescent="0.25">
      <c r="A224" t="s">
        <v>543</v>
      </c>
      <c r="B224" t="s">
        <v>184</v>
      </c>
      <c r="C224" t="s">
        <v>91</v>
      </c>
      <c r="D224" t="s">
        <v>23</v>
      </c>
      <c r="E224">
        <v>37</v>
      </c>
      <c r="F224" t="s">
        <v>36</v>
      </c>
      <c r="G224" t="s">
        <v>216</v>
      </c>
      <c r="H224">
        <v>252868</v>
      </c>
      <c r="I224" s="6">
        <v>40914</v>
      </c>
      <c r="J224">
        <v>14</v>
      </c>
      <c r="K224" t="s">
        <v>544</v>
      </c>
      <c r="L224" t="s">
        <v>25</v>
      </c>
      <c r="M224">
        <v>3</v>
      </c>
      <c r="N224" t="s">
        <v>1061</v>
      </c>
      <c r="O224" t="s">
        <v>1079</v>
      </c>
    </row>
    <row r="225" spans="1:15" x14ac:dyDescent="0.25">
      <c r="A225" t="s">
        <v>545</v>
      </c>
      <c r="B225" t="s">
        <v>316</v>
      </c>
      <c r="C225" t="s">
        <v>222</v>
      </c>
      <c r="D225" t="s">
        <v>8</v>
      </c>
      <c r="E225">
        <v>43</v>
      </c>
      <c r="F225" t="s">
        <v>295</v>
      </c>
      <c r="G225" t="s">
        <v>63</v>
      </c>
      <c r="H225">
        <v>77770.5</v>
      </c>
      <c r="I225" s="6">
        <v>43192</v>
      </c>
      <c r="J225">
        <v>8</v>
      </c>
      <c r="K225" t="s">
        <v>546</v>
      </c>
      <c r="L225" t="s">
        <v>14</v>
      </c>
      <c r="M225">
        <v>4</v>
      </c>
      <c r="N225" t="s">
        <v>1062</v>
      </c>
      <c r="O225" t="s">
        <v>1077</v>
      </c>
    </row>
    <row r="226" spans="1:15" x14ac:dyDescent="0.25">
      <c r="A226" t="s">
        <v>547</v>
      </c>
      <c r="B226" t="s">
        <v>30</v>
      </c>
      <c r="C226" t="s">
        <v>22</v>
      </c>
      <c r="D226" t="s">
        <v>23</v>
      </c>
      <c r="E226">
        <v>66</v>
      </c>
      <c r="F226" t="s">
        <v>133</v>
      </c>
      <c r="G226" t="s">
        <v>63</v>
      </c>
      <c r="H226">
        <v>62522</v>
      </c>
      <c r="I226" s="6">
        <v>44050</v>
      </c>
      <c r="J226">
        <v>6</v>
      </c>
      <c r="K226" t="s">
        <v>548</v>
      </c>
      <c r="L226" t="s">
        <v>14</v>
      </c>
      <c r="M226">
        <v>3</v>
      </c>
      <c r="N226" t="s">
        <v>1080</v>
      </c>
      <c r="O226" t="s">
        <v>1077</v>
      </c>
    </row>
    <row r="227" spans="1:15" x14ac:dyDescent="0.25">
      <c r="A227" t="s">
        <v>549</v>
      </c>
      <c r="B227" t="s">
        <v>476</v>
      </c>
      <c r="C227" t="s">
        <v>962</v>
      </c>
      <c r="D227" t="s">
        <v>8</v>
      </c>
      <c r="E227">
        <v>45</v>
      </c>
      <c r="F227" t="s">
        <v>133</v>
      </c>
      <c r="G227" t="s">
        <v>44</v>
      </c>
      <c r="H227">
        <v>53648</v>
      </c>
      <c r="I227" s="6">
        <v>40628</v>
      </c>
      <c r="J227">
        <v>15</v>
      </c>
      <c r="K227" t="s">
        <v>550</v>
      </c>
      <c r="L227" t="s">
        <v>120</v>
      </c>
      <c r="M227">
        <v>3</v>
      </c>
      <c r="N227" t="s">
        <v>1062</v>
      </c>
      <c r="O227" t="s">
        <v>1077</v>
      </c>
    </row>
    <row r="228" spans="1:15" x14ac:dyDescent="0.25">
      <c r="A228" t="s">
        <v>551</v>
      </c>
      <c r="B228" t="s">
        <v>624</v>
      </c>
      <c r="C228" t="s">
        <v>141</v>
      </c>
      <c r="D228" t="s">
        <v>8</v>
      </c>
      <c r="E228">
        <v>32</v>
      </c>
      <c r="F228" t="s">
        <v>36</v>
      </c>
      <c r="G228" t="s">
        <v>17</v>
      </c>
      <c r="H228">
        <v>92495</v>
      </c>
      <c r="I228" s="6">
        <v>42635</v>
      </c>
      <c r="J228">
        <v>10</v>
      </c>
      <c r="K228" t="s">
        <v>552</v>
      </c>
      <c r="L228" t="s">
        <v>49</v>
      </c>
      <c r="M228">
        <v>1</v>
      </c>
      <c r="N228" t="s">
        <v>1060</v>
      </c>
      <c r="O228" t="s">
        <v>1077</v>
      </c>
    </row>
    <row r="229" spans="1:15" x14ac:dyDescent="0.25">
      <c r="A229" t="s">
        <v>553</v>
      </c>
      <c r="B229" t="s">
        <v>30</v>
      </c>
      <c r="C229" t="s">
        <v>91</v>
      </c>
      <c r="D229" t="s">
        <v>8</v>
      </c>
      <c r="E229">
        <v>44</v>
      </c>
      <c r="F229" t="s">
        <v>32</v>
      </c>
      <c r="G229" t="s">
        <v>17</v>
      </c>
      <c r="H229">
        <v>72158</v>
      </c>
      <c r="I229" s="6">
        <v>40083</v>
      </c>
      <c r="J229">
        <v>17</v>
      </c>
      <c r="K229" t="s">
        <v>554</v>
      </c>
      <c r="L229" t="s">
        <v>85</v>
      </c>
      <c r="M229">
        <v>3</v>
      </c>
      <c r="N229" t="s">
        <v>1062</v>
      </c>
      <c r="O229" t="s">
        <v>1077</v>
      </c>
    </row>
    <row r="230" spans="1:15" x14ac:dyDescent="0.25">
      <c r="A230" t="s">
        <v>555</v>
      </c>
      <c r="B230" t="s">
        <v>43</v>
      </c>
      <c r="C230" t="s">
        <v>287</v>
      </c>
      <c r="D230" t="s">
        <v>23</v>
      </c>
      <c r="E230">
        <v>32</v>
      </c>
      <c r="F230" t="s">
        <v>9</v>
      </c>
      <c r="G230" t="s">
        <v>17</v>
      </c>
      <c r="H230">
        <v>92597</v>
      </c>
      <c r="I230" s="6">
        <v>44629</v>
      </c>
      <c r="J230">
        <v>4</v>
      </c>
      <c r="K230" t="s">
        <v>556</v>
      </c>
      <c r="L230" t="s">
        <v>39</v>
      </c>
      <c r="M230">
        <v>3</v>
      </c>
      <c r="N230" t="s">
        <v>1060</v>
      </c>
      <c r="O230" t="s">
        <v>1077</v>
      </c>
    </row>
    <row r="231" spans="1:15" x14ac:dyDescent="0.25">
      <c r="A231" t="s">
        <v>557</v>
      </c>
      <c r="B231" t="s">
        <v>514</v>
      </c>
      <c r="C231" t="s">
        <v>287</v>
      </c>
      <c r="D231" t="s">
        <v>8</v>
      </c>
      <c r="E231">
        <v>40</v>
      </c>
      <c r="F231" t="s">
        <v>154</v>
      </c>
      <c r="G231" t="s">
        <v>17</v>
      </c>
      <c r="H231">
        <v>41791.5</v>
      </c>
      <c r="I231" s="6">
        <v>44534</v>
      </c>
      <c r="J231">
        <v>4</v>
      </c>
      <c r="K231" t="s">
        <v>558</v>
      </c>
      <c r="L231" t="s">
        <v>11</v>
      </c>
      <c r="M231">
        <v>3</v>
      </c>
      <c r="N231" t="s">
        <v>1061</v>
      </c>
      <c r="O231" t="s">
        <v>1076</v>
      </c>
    </row>
    <row r="232" spans="1:15" x14ac:dyDescent="0.25">
      <c r="A232" t="s">
        <v>559</v>
      </c>
      <c r="B232" t="s">
        <v>469</v>
      </c>
      <c r="C232" t="s">
        <v>141</v>
      </c>
      <c r="D232" t="s">
        <v>8</v>
      </c>
      <c r="E232">
        <v>37</v>
      </c>
      <c r="F232" t="s">
        <v>203</v>
      </c>
      <c r="G232" t="s">
        <v>63</v>
      </c>
      <c r="H232">
        <v>60135</v>
      </c>
      <c r="I232" s="6">
        <v>41385</v>
      </c>
      <c r="J232">
        <v>13</v>
      </c>
      <c r="K232" t="s">
        <v>560</v>
      </c>
      <c r="L232" t="s">
        <v>107</v>
      </c>
      <c r="M232">
        <v>4</v>
      </c>
      <c r="N232" t="s">
        <v>1061</v>
      </c>
      <c r="O232" t="s">
        <v>1077</v>
      </c>
    </row>
    <row r="233" spans="1:15" x14ac:dyDescent="0.25">
      <c r="A233" t="s">
        <v>561</v>
      </c>
      <c r="B233" t="s">
        <v>99</v>
      </c>
      <c r="C233" t="s">
        <v>562</v>
      </c>
      <c r="D233" t="s">
        <v>1</v>
      </c>
      <c r="E233">
        <v>54</v>
      </c>
      <c r="F233" t="s">
        <v>181</v>
      </c>
      <c r="G233" t="s">
        <v>2</v>
      </c>
      <c r="H233">
        <v>79863.34</v>
      </c>
      <c r="I233" s="6">
        <v>43625</v>
      </c>
      <c r="J233">
        <v>7</v>
      </c>
      <c r="K233" t="s">
        <v>563</v>
      </c>
      <c r="L233" t="s">
        <v>4</v>
      </c>
      <c r="M233">
        <v>3</v>
      </c>
      <c r="N233" t="s">
        <v>1064</v>
      </c>
      <c r="O233" t="s">
        <v>1077</v>
      </c>
    </row>
    <row r="234" spans="1:15" x14ac:dyDescent="0.25">
      <c r="A234" t="s">
        <v>564</v>
      </c>
      <c r="B234" t="s">
        <v>290</v>
      </c>
      <c r="C234" t="s">
        <v>138</v>
      </c>
      <c r="D234" t="s">
        <v>8</v>
      </c>
      <c r="E234">
        <v>43</v>
      </c>
      <c r="F234" t="s">
        <v>133</v>
      </c>
      <c r="G234" t="s">
        <v>44</v>
      </c>
      <c r="H234">
        <v>57380</v>
      </c>
      <c r="I234" s="6">
        <v>41422</v>
      </c>
      <c r="J234">
        <v>13</v>
      </c>
      <c r="K234" t="s">
        <v>565</v>
      </c>
      <c r="L234" t="s">
        <v>19</v>
      </c>
      <c r="M234">
        <v>3</v>
      </c>
      <c r="N234" t="s">
        <v>1062</v>
      </c>
      <c r="O234" t="s">
        <v>1077</v>
      </c>
    </row>
    <row r="235" spans="1:15" x14ac:dyDescent="0.25">
      <c r="A235" t="s">
        <v>566</v>
      </c>
      <c r="B235" t="s">
        <v>62</v>
      </c>
      <c r="C235" t="s">
        <v>7</v>
      </c>
      <c r="D235" t="s">
        <v>8</v>
      </c>
      <c r="E235">
        <v>60</v>
      </c>
      <c r="F235" t="s">
        <v>142</v>
      </c>
      <c r="G235" t="s">
        <v>161</v>
      </c>
      <c r="H235">
        <v>119842.08</v>
      </c>
      <c r="I235" s="6">
        <v>38810</v>
      </c>
      <c r="J235">
        <v>20</v>
      </c>
      <c r="K235" t="s">
        <v>500</v>
      </c>
      <c r="L235" t="s">
        <v>19</v>
      </c>
      <c r="M235">
        <v>4</v>
      </c>
      <c r="N235" t="s">
        <v>1065</v>
      </c>
      <c r="O235" t="s">
        <v>1074</v>
      </c>
    </row>
    <row r="236" spans="1:15" x14ac:dyDescent="0.25">
      <c r="A236" t="s">
        <v>567</v>
      </c>
      <c r="B236" t="s">
        <v>232</v>
      </c>
      <c r="C236" t="s">
        <v>76</v>
      </c>
      <c r="D236" t="s">
        <v>8</v>
      </c>
      <c r="E236">
        <v>38</v>
      </c>
      <c r="F236" t="s">
        <v>181</v>
      </c>
      <c r="G236" t="s">
        <v>100</v>
      </c>
      <c r="H236">
        <v>53693</v>
      </c>
      <c r="I236" s="6">
        <v>43389</v>
      </c>
      <c r="J236">
        <v>7</v>
      </c>
      <c r="K236" t="s">
        <v>568</v>
      </c>
      <c r="L236" t="s">
        <v>207</v>
      </c>
      <c r="M236">
        <v>3</v>
      </c>
      <c r="N236" t="s">
        <v>1061</v>
      </c>
      <c r="O236" t="s">
        <v>1077</v>
      </c>
    </row>
    <row r="237" spans="1:15" x14ac:dyDescent="0.25">
      <c r="A237" t="s">
        <v>569</v>
      </c>
      <c r="B237" t="s">
        <v>99</v>
      </c>
      <c r="C237" t="s">
        <v>104</v>
      </c>
      <c r="D237" t="s">
        <v>8</v>
      </c>
      <c r="E237">
        <v>30</v>
      </c>
      <c r="F237" t="s">
        <v>203</v>
      </c>
      <c r="G237" t="s">
        <v>2</v>
      </c>
      <c r="H237">
        <v>80480</v>
      </c>
      <c r="I237" s="6">
        <v>44558</v>
      </c>
      <c r="J237">
        <v>4</v>
      </c>
      <c r="K237" t="s">
        <v>570</v>
      </c>
      <c r="L237" t="s">
        <v>14</v>
      </c>
      <c r="M237">
        <v>4</v>
      </c>
      <c r="N237" t="s">
        <v>1075</v>
      </c>
      <c r="O237" t="s">
        <v>1077</v>
      </c>
    </row>
    <row r="238" spans="1:15" x14ac:dyDescent="0.25">
      <c r="A238" t="s">
        <v>571</v>
      </c>
      <c r="B238" t="s">
        <v>232</v>
      </c>
      <c r="C238" t="s">
        <v>356</v>
      </c>
      <c r="D238" t="s">
        <v>1</v>
      </c>
      <c r="E238">
        <v>25</v>
      </c>
      <c r="F238" t="s">
        <v>9</v>
      </c>
      <c r="G238" t="s">
        <v>44</v>
      </c>
      <c r="H238">
        <v>78290</v>
      </c>
      <c r="I238" s="6">
        <v>45586</v>
      </c>
      <c r="J238">
        <v>1</v>
      </c>
      <c r="K238" t="s">
        <v>572</v>
      </c>
      <c r="L238" t="s">
        <v>107</v>
      </c>
      <c r="M238">
        <v>3</v>
      </c>
      <c r="N238" t="s">
        <v>1075</v>
      </c>
      <c r="O238" t="s">
        <v>1077</v>
      </c>
    </row>
    <row r="239" spans="1:15" x14ac:dyDescent="0.25">
      <c r="A239" t="s">
        <v>573</v>
      </c>
      <c r="B239" t="s">
        <v>56</v>
      </c>
      <c r="C239" t="s">
        <v>215</v>
      </c>
      <c r="D239" t="s">
        <v>23</v>
      </c>
      <c r="E239">
        <v>45</v>
      </c>
      <c r="F239" t="s">
        <v>142</v>
      </c>
      <c r="G239" t="s">
        <v>44</v>
      </c>
      <c r="H239">
        <v>61795</v>
      </c>
      <c r="I239" s="6">
        <v>41154</v>
      </c>
      <c r="J239">
        <v>14</v>
      </c>
      <c r="K239" t="s">
        <v>574</v>
      </c>
      <c r="L239" t="s">
        <v>54</v>
      </c>
      <c r="M239">
        <v>3</v>
      </c>
      <c r="N239" t="s">
        <v>1062</v>
      </c>
      <c r="O239" t="s">
        <v>1077</v>
      </c>
    </row>
    <row r="240" spans="1:15" x14ac:dyDescent="0.25">
      <c r="A240" t="s">
        <v>575</v>
      </c>
      <c r="B240" t="s">
        <v>290</v>
      </c>
      <c r="C240" t="s">
        <v>962</v>
      </c>
      <c r="D240" t="s">
        <v>23</v>
      </c>
      <c r="E240">
        <v>55</v>
      </c>
      <c r="F240" t="s">
        <v>142</v>
      </c>
      <c r="G240" t="s">
        <v>37</v>
      </c>
      <c r="H240">
        <v>63917</v>
      </c>
      <c r="I240" s="6">
        <v>39125</v>
      </c>
      <c r="J240">
        <v>19</v>
      </c>
      <c r="K240" t="s">
        <v>576</v>
      </c>
      <c r="L240" t="s">
        <v>120</v>
      </c>
      <c r="M240">
        <v>3</v>
      </c>
      <c r="N240" t="s">
        <v>1064</v>
      </c>
      <c r="O240" t="s">
        <v>1077</v>
      </c>
    </row>
    <row r="241" spans="1:15" x14ac:dyDescent="0.25">
      <c r="A241" t="s">
        <v>577</v>
      </c>
      <c r="B241" t="s">
        <v>6</v>
      </c>
      <c r="C241" t="s">
        <v>76</v>
      </c>
      <c r="D241" t="s">
        <v>23</v>
      </c>
      <c r="E241">
        <v>52</v>
      </c>
      <c r="F241" t="s">
        <v>1066</v>
      </c>
      <c r="G241" t="s">
        <v>37</v>
      </c>
      <c r="H241">
        <v>58991</v>
      </c>
      <c r="I241" s="6">
        <v>43178</v>
      </c>
      <c r="J241">
        <v>8</v>
      </c>
      <c r="K241" t="s">
        <v>347</v>
      </c>
      <c r="L241" t="s">
        <v>107</v>
      </c>
      <c r="M241">
        <v>4</v>
      </c>
      <c r="N241" t="s">
        <v>1064</v>
      </c>
      <c r="O241" t="s">
        <v>1077</v>
      </c>
    </row>
    <row r="242" spans="1:15" x14ac:dyDescent="0.25">
      <c r="A242" t="s">
        <v>578</v>
      </c>
      <c r="B242" t="s">
        <v>30</v>
      </c>
      <c r="C242" t="s">
        <v>88</v>
      </c>
      <c r="D242" t="s">
        <v>23</v>
      </c>
      <c r="E242">
        <v>38</v>
      </c>
      <c r="F242" t="s">
        <v>295</v>
      </c>
      <c r="G242" t="s">
        <v>44</v>
      </c>
      <c r="H242">
        <v>65732</v>
      </c>
      <c r="I242" s="6">
        <v>42129</v>
      </c>
      <c r="J242">
        <v>11</v>
      </c>
      <c r="K242" t="s">
        <v>579</v>
      </c>
      <c r="L242" t="s">
        <v>11</v>
      </c>
      <c r="M242">
        <v>3</v>
      </c>
      <c r="N242" t="s">
        <v>1061</v>
      </c>
      <c r="O242" t="s">
        <v>1077</v>
      </c>
    </row>
    <row r="243" spans="1:15" x14ac:dyDescent="0.25">
      <c r="A243" t="s">
        <v>580</v>
      </c>
      <c r="B243" t="s">
        <v>115</v>
      </c>
      <c r="C243" t="s">
        <v>308</v>
      </c>
      <c r="D243" t="s">
        <v>23</v>
      </c>
      <c r="E243">
        <v>28</v>
      </c>
      <c r="F243" t="s">
        <v>32</v>
      </c>
      <c r="G243" t="s">
        <v>2</v>
      </c>
      <c r="H243">
        <v>109517</v>
      </c>
      <c r="I243" s="6">
        <v>45620</v>
      </c>
      <c r="J243">
        <v>1</v>
      </c>
      <c r="K243" t="s">
        <v>581</v>
      </c>
      <c r="L243" t="s">
        <v>49</v>
      </c>
      <c r="M243">
        <v>1</v>
      </c>
      <c r="N243" t="s">
        <v>1075</v>
      </c>
      <c r="O243" t="s">
        <v>1074</v>
      </c>
    </row>
    <row r="244" spans="1:15" x14ac:dyDescent="0.25">
      <c r="A244" t="s">
        <v>582</v>
      </c>
      <c r="B244" t="s">
        <v>6</v>
      </c>
      <c r="C244" t="s">
        <v>269</v>
      </c>
      <c r="D244" t="s">
        <v>1</v>
      </c>
      <c r="E244">
        <v>39</v>
      </c>
      <c r="F244" t="s">
        <v>36</v>
      </c>
      <c r="G244" t="s">
        <v>37</v>
      </c>
      <c r="H244">
        <v>103343.67999999999</v>
      </c>
      <c r="I244" s="6">
        <v>40479</v>
      </c>
      <c r="J244">
        <v>15</v>
      </c>
      <c r="K244" t="s">
        <v>583</v>
      </c>
      <c r="L244" t="s">
        <v>19</v>
      </c>
      <c r="M244">
        <v>2</v>
      </c>
      <c r="N244" t="s">
        <v>1061</v>
      </c>
      <c r="O244" t="s">
        <v>1074</v>
      </c>
    </row>
    <row r="245" spans="1:15" x14ac:dyDescent="0.25">
      <c r="A245" t="s">
        <v>584</v>
      </c>
      <c r="B245" t="s">
        <v>62</v>
      </c>
      <c r="C245" t="s">
        <v>485</v>
      </c>
      <c r="D245" t="s">
        <v>23</v>
      </c>
      <c r="E245">
        <v>53</v>
      </c>
      <c r="F245" t="s">
        <v>142</v>
      </c>
      <c r="G245" t="s">
        <v>105</v>
      </c>
      <c r="H245">
        <v>99891.36</v>
      </c>
      <c r="I245" s="6">
        <v>39299</v>
      </c>
      <c r="J245">
        <v>19</v>
      </c>
      <c r="K245" t="s">
        <v>585</v>
      </c>
      <c r="L245" t="s">
        <v>11</v>
      </c>
      <c r="M245">
        <v>4</v>
      </c>
      <c r="N245" t="s">
        <v>1064</v>
      </c>
      <c r="O245" t="s">
        <v>1077</v>
      </c>
    </row>
    <row r="246" spans="1:15" x14ac:dyDescent="0.25">
      <c r="A246" t="s">
        <v>586</v>
      </c>
      <c r="B246" t="s">
        <v>56</v>
      </c>
      <c r="C246" t="s">
        <v>88</v>
      </c>
      <c r="D246" t="s">
        <v>1</v>
      </c>
      <c r="E246">
        <v>48</v>
      </c>
      <c r="F246" t="s">
        <v>203</v>
      </c>
      <c r="G246" t="s">
        <v>44</v>
      </c>
      <c r="H246">
        <v>51595</v>
      </c>
      <c r="I246" s="6">
        <v>40078</v>
      </c>
      <c r="J246">
        <v>17</v>
      </c>
      <c r="K246" t="s">
        <v>587</v>
      </c>
      <c r="L246" t="s">
        <v>85</v>
      </c>
      <c r="M246">
        <v>4</v>
      </c>
      <c r="N246" t="s">
        <v>1063</v>
      </c>
      <c r="O246" t="s">
        <v>1077</v>
      </c>
    </row>
    <row r="247" spans="1:15" x14ac:dyDescent="0.25">
      <c r="A247" t="s">
        <v>588</v>
      </c>
      <c r="B247" t="s">
        <v>16</v>
      </c>
      <c r="C247" t="s">
        <v>589</v>
      </c>
      <c r="D247" t="s">
        <v>23</v>
      </c>
      <c r="E247">
        <v>41</v>
      </c>
      <c r="F247" t="s">
        <v>32</v>
      </c>
      <c r="G247" t="s">
        <v>2</v>
      </c>
      <c r="H247">
        <v>113800</v>
      </c>
      <c r="I247" s="6">
        <v>43136</v>
      </c>
      <c r="J247">
        <v>8</v>
      </c>
      <c r="K247" t="s">
        <v>590</v>
      </c>
      <c r="L247" t="s">
        <v>28</v>
      </c>
      <c r="M247">
        <v>4</v>
      </c>
      <c r="N247" t="s">
        <v>1062</v>
      </c>
      <c r="O247" t="s">
        <v>1074</v>
      </c>
    </row>
    <row r="248" spans="1:15" x14ac:dyDescent="0.25">
      <c r="A248" t="s">
        <v>591</v>
      </c>
      <c r="B248" t="s">
        <v>103</v>
      </c>
      <c r="C248" t="s">
        <v>169</v>
      </c>
      <c r="D248" t="s">
        <v>23</v>
      </c>
      <c r="E248">
        <v>34</v>
      </c>
      <c r="F248" t="s">
        <v>32</v>
      </c>
      <c r="G248" t="s">
        <v>44</v>
      </c>
      <c r="H248">
        <v>73562.259999999995</v>
      </c>
      <c r="I248" s="6"/>
      <c r="K248" t="s">
        <v>592</v>
      </c>
      <c r="L248" t="s">
        <v>120</v>
      </c>
      <c r="M248">
        <v>4</v>
      </c>
      <c r="N248" t="s">
        <v>1060</v>
      </c>
      <c r="O248" t="s">
        <v>1077</v>
      </c>
    </row>
    <row r="249" spans="1:15" x14ac:dyDescent="0.25">
      <c r="A249" t="s">
        <v>593</v>
      </c>
      <c r="B249" t="s">
        <v>530</v>
      </c>
      <c r="C249" t="s">
        <v>80</v>
      </c>
      <c r="D249" t="s">
        <v>1</v>
      </c>
      <c r="E249">
        <v>35</v>
      </c>
      <c r="F249" t="s">
        <v>36</v>
      </c>
      <c r="G249" t="s">
        <v>44</v>
      </c>
      <c r="H249">
        <v>81678</v>
      </c>
      <c r="I249" s="6">
        <v>44383</v>
      </c>
      <c r="J249">
        <v>5</v>
      </c>
      <c r="K249" t="s">
        <v>594</v>
      </c>
      <c r="L249" t="s">
        <v>85</v>
      </c>
      <c r="M249">
        <v>3</v>
      </c>
      <c r="N249" t="s">
        <v>1060</v>
      </c>
      <c r="O249" t="s">
        <v>1077</v>
      </c>
    </row>
    <row r="250" spans="1:15" x14ac:dyDescent="0.25">
      <c r="A250" t="s">
        <v>595</v>
      </c>
      <c r="B250" t="s">
        <v>290</v>
      </c>
      <c r="C250" t="s">
        <v>141</v>
      </c>
      <c r="D250" t="s">
        <v>8</v>
      </c>
      <c r="E250">
        <v>38</v>
      </c>
      <c r="F250" t="s">
        <v>9</v>
      </c>
      <c r="G250" t="s">
        <v>17</v>
      </c>
      <c r="H250">
        <v>92055.360000000001</v>
      </c>
      <c r="I250" s="6">
        <v>40432</v>
      </c>
      <c r="J250">
        <v>16</v>
      </c>
      <c r="K250" t="s">
        <v>596</v>
      </c>
      <c r="L250" t="s">
        <v>120</v>
      </c>
      <c r="M250">
        <v>3</v>
      </c>
      <c r="N250" t="s">
        <v>1061</v>
      </c>
      <c r="O250" t="s">
        <v>1077</v>
      </c>
    </row>
    <row r="251" spans="1:15" x14ac:dyDescent="0.25">
      <c r="A251" t="s">
        <v>597</v>
      </c>
      <c r="B251" t="s">
        <v>87</v>
      </c>
      <c r="C251" t="s">
        <v>351</v>
      </c>
      <c r="D251" t="s">
        <v>8</v>
      </c>
      <c r="E251">
        <v>42</v>
      </c>
      <c r="F251" t="s">
        <v>154</v>
      </c>
      <c r="G251" t="s">
        <v>44</v>
      </c>
      <c r="H251">
        <v>39791</v>
      </c>
      <c r="I251" s="6">
        <v>38961</v>
      </c>
      <c r="J251">
        <v>20</v>
      </c>
      <c r="K251" t="s">
        <v>51</v>
      </c>
      <c r="L251" t="s">
        <v>49</v>
      </c>
      <c r="M251">
        <v>3</v>
      </c>
      <c r="N251" t="s">
        <v>1062</v>
      </c>
      <c r="O251" t="s">
        <v>1076</v>
      </c>
    </row>
    <row r="252" spans="1:15" x14ac:dyDescent="0.25">
      <c r="A252" t="s">
        <v>598</v>
      </c>
      <c r="B252" t="s">
        <v>451</v>
      </c>
      <c r="C252" t="s">
        <v>118</v>
      </c>
      <c r="D252" t="s">
        <v>8</v>
      </c>
      <c r="E252">
        <v>45</v>
      </c>
      <c r="F252" t="s">
        <v>181</v>
      </c>
      <c r="G252" t="s">
        <v>105</v>
      </c>
      <c r="H252">
        <v>93583</v>
      </c>
      <c r="I252" s="6">
        <v>40616</v>
      </c>
      <c r="J252">
        <v>15</v>
      </c>
      <c r="K252" t="s">
        <v>599</v>
      </c>
      <c r="L252" t="s">
        <v>65</v>
      </c>
      <c r="M252">
        <v>4</v>
      </c>
      <c r="N252" t="s">
        <v>1062</v>
      </c>
      <c r="O252" t="s">
        <v>1077</v>
      </c>
    </row>
    <row r="253" spans="1:15" x14ac:dyDescent="0.25">
      <c r="A253" t="s">
        <v>600</v>
      </c>
      <c r="B253" t="s">
        <v>6</v>
      </c>
      <c r="C253" t="s">
        <v>16</v>
      </c>
      <c r="D253" t="s">
        <v>1</v>
      </c>
      <c r="E253">
        <v>49</v>
      </c>
      <c r="F253" t="s">
        <v>154</v>
      </c>
      <c r="G253" t="s">
        <v>37</v>
      </c>
      <c r="H253">
        <v>54086</v>
      </c>
      <c r="I253" s="6">
        <v>38536</v>
      </c>
      <c r="J253">
        <v>21</v>
      </c>
      <c r="K253" t="s">
        <v>601</v>
      </c>
      <c r="L253" t="s">
        <v>65</v>
      </c>
      <c r="M253">
        <v>2</v>
      </c>
      <c r="N253" t="s">
        <v>1063</v>
      </c>
      <c r="O253" t="s">
        <v>1077</v>
      </c>
    </row>
    <row r="254" spans="1:15" x14ac:dyDescent="0.25">
      <c r="A254" t="s">
        <v>602</v>
      </c>
      <c r="B254" t="s">
        <v>633</v>
      </c>
      <c r="C254" t="s">
        <v>166</v>
      </c>
      <c r="D254" t="s">
        <v>23</v>
      </c>
      <c r="E254">
        <v>48</v>
      </c>
      <c r="F254" t="s">
        <v>32</v>
      </c>
      <c r="G254" t="s">
        <v>63</v>
      </c>
      <c r="H254">
        <v>92486</v>
      </c>
      <c r="I254" s="6">
        <v>43694</v>
      </c>
      <c r="J254">
        <v>7</v>
      </c>
      <c r="K254" t="s">
        <v>603</v>
      </c>
      <c r="L254" t="s">
        <v>207</v>
      </c>
      <c r="M254">
        <v>3</v>
      </c>
      <c r="N254" t="s">
        <v>1063</v>
      </c>
      <c r="O254" t="s">
        <v>1077</v>
      </c>
    </row>
    <row r="255" spans="1:15" x14ac:dyDescent="0.25">
      <c r="A255" t="s">
        <v>604</v>
      </c>
      <c r="B255" t="s">
        <v>6</v>
      </c>
      <c r="C255" t="s">
        <v>562</v>
      </c>
      <c r="D255" t="s">
        <v>23</v>
      </c>
      <c r="E255">
        <v>51</v>
      </c>
      <c r="F255" t="s">
        <v>32</v>
      </c>
      <c r="G255" t="s">
        <v>2</v>
      </c>
      <c r="H255">
        <v>113616</v>
      </c>
      <c r="I255" s="6">
        <v>39281</v>
      </c>
      <c r="J255">
        <v>19</v>
      </c>
      <c r="K255" t="s">
        <v>605</v>
      </c>
      <c r="L255" t="s">
        <v>14</v>
      </c>
      <c r="M255">
        <v>3</v>
      </c>
      <c r="N255" t="s">
        <v>1064</v>
      </c>
      <c r="O255" t="s">
        <v>1074</v>
      </c>
    </row>
    <row r="256" spans="1:15" x14ac:dyDescent="0.25">
      <c r="A256" t="s">
        <v>606</v>
      </c>
      <c r="B256" t="s">
        <v>476</v>
      </c>
      <c r="C256" t="s">
        <v>356</v>
      </c>
      <c r="D256" t="s">
        <v>23</v>
      </c>
      <c r="E256">
        <v>46</v>
      </c>
      <c r="F256" t="s">
        <v>9</v>
      </c>
      <c r="G256" t="s">
        <v>105</v>
      </c>
      <c r="H256">
        <v>158382</v>
      </c>
      <c r="I256" s="6">
        <v>39152</v>
      </c>
      <c r="J256">
        <v>19</v>
      </c>
      <c r="K256" t="s">
        <v>607</v>
      </c>
      <c r="L256" t="s">
        <v>65</v>
      </c>
      <c r="M256">
        <v>5</v>
      </c>
      <c r="N256" t="s">
        <v>1063</v>
      </c>
      <c r="O256" t="s">
        <v>1078</v>
      </c>
    </row>
    <row r="257" spans="1:15" x14ac:dyDescent="0.25">
      <c r="A257" t="s">
        <v>608</v>
      </c>
      <c r="B257" t="s">
        <v>115</v>
      </c>
      <c r="C257" t="s">
        <v>215</v>
      </c>
      <c r="D257" t="s">
        <v>1</v>
      </c>
      <c r="E257">
        <v>51</v>
      </c>
      <c r="F257" t="s">
        <v>142</v>
      </c>
      <c r="G257" t="s">
        <v>100</v>
      </c>
      <c r="H257">
        <v>51628</v>
      </c>
      <c r="I257" s="6">
        <v>40673</v>
      </c>
      <c r="J257">
        <v>15</v>
      </c>
      <c r="K257" t="s">
        <v>217</v>
      </c>
      <c r="L257" t="s">
        <v>25</v>
      </c>
      <c r="M257">
        <v>3</v>
      </c>
      <c r="N257" t="s">
        <v>1064</v>
      </c>
      <c r="O257" t="s">
        <v>1077</v>
      </c>
    </row>
    <row r="258" spans="1:15" x14ac:dyDescent="0.25">
      <c r="A258" t="s">
        <v>609</v>
      </c>
      <c r="B258" t="s">
        <v>633</v>
      </c>
      <c r="C258" t="s">
        <v>799</v>
      </c>
      <c r="D258" t="s">
        <v>23</v>
      </c>
      <c r="E258">
        <v>41</v>
      </c>
      <c r="F258" t="s">
        <v>203</v>
      </c>
      <c r="G258" t="s">
        <v>44</v>
      </c>
      <c r="H258">
        <v>54949</v>
      </c>
      <c r="I258" s="6">
        <v>44222</v>
      </c>
      <c r="J258">
        <v>5</v>
      </c>
      <c r="K258" t="s">
        <v>610</v>
      </c>
      <c r="L258" t="s">
        <v>49</v>
      </c>
      <c r="M258">
        <v>4</v>
      </c>
      <c r="N258" t="s">
        <v>1062</v>
      </c>
      <c r="O258" t="s">
        <v>1077</v>
      </c>
    </row>
    <row r="259" spans="1:15" x14ac:dyDescent="0.25">
      <c r="A259" t="s">
        <v>611</v>
      </c>
      <c r="B259" t="s">
        <v>43</v>
      </c>
      <c r="C259" t="s">
        <v>22</v>
      </c>
      <c r="D259" t="s">
        <v>23</v>
      </c>
      <c r="E259">
        <v>31</v>
      </c>
      <c r="F259" t="s">
        <v>181</v>
      </c>
      <c r="G259" t="s">
        <v>44</v>
      </c>
      <c r="H259">
        <v>44759.85</v>
      </c>
      <c r="I259" s="6">
        <v>45577</v>
      </c>
      <c r="J259">
        <v>1</v>
      </c>
      <c r="K259" t="s">
        <v>45</v>
      </c>
      <c r="L259" t="s">
        <v>14</v>
      </c>
      <c r="M259">
        <v>3</v>
      </c>
      <c r="N259" t="s">
        <v>1060</v>
      </c>
      <c r="O259" t="s">
        <v>1076</v>
      </c>
    </row>
    <row r="260" spans="1:15" x14ac:dyDescent="0.25">
      <c r="A260" t="s">
        <v>612</v>
      </c>
      <c r="B260" t="s">
        <v>321</v>
      </c>
      <c r="C260" t="s">
        <v>7</v>
      </c>
      <c r="D260" t="s">
        <v>23</v>
      </c>
      <c r="E260">
        <v>49</v>
      </c>
      <c r="F260" t="s">
        <v>36</v>
      </c>
      <c r="G260" t="s">
        <v>37</v>
      </c>
      <c r="H260">
        <v>98373</v>
      </c>
      <c r="I260" s="6">
        <v>44899</v>
      </c>
      <c r="J260">
        <v>3</v>
      </c>
      <c r="K260" t="s">
        <v>613</v>
      </c>
      <c r="L260" t="s">
        <v>4</v>
      </c>
      <c r="M260">
        <v>1</v>
      </c>
      <c r="N260" t="s">
        <v>1063</v>
      </c>
      <c r="O260" t="s">
        <v>1077</v>
      </c>
    </row>
    <row r="261" spans="1:15" x14ac:dyDescent="0.25">
      <c r="A261" t="s">
        <v>614</v>
      </c>
      <c r="B261" t="s">
        <v>714</v>
      </c>
      <c r="C261" t="s">
        <v>402</v>
      </c>
      <c r="D261" t="s">
        <v>1</v>
      </c>
      <c r="E261">
        <v>62</v>
      </c>
      <c r="F261" t="s">
        <v>313</v>
      </c>
      <c r="G261" t="s">
        <v>37</v>
      </c>
      <c r="H261">
        <v>92665.25</v>
      </c>
      <c r="I261" s="6">
        <v>38439</v>
      </c>
      <c r="J261">
        <v>21</v>
      </c>
      <c r="K261" t="s">
        <v>615</v>
      </c>
      <c r="L261" t="s">
        <v>54</v>
      </c>
      <c r="M261">
        <v>3</v>
      </c>
      <c r="N261" t="s">
        <v>1080</v>
      </c>
      <c r="O261" t="s">
        <v>1077</v>
      </c>
    </row>
    <row r="262" spans="1:15" x14ac:dyDescent="0.25">
      <c r="A262" t="s">
        <v>616</v>
      </c>
      <c r="B262" t="s">
        <v>334</v>
      </c>
      <c r="C262" t="s">
        <v>402</v>
      </c>
      <c r="D262" t="s">
        <v>1</v>
      </c>
      <c r="E262">
        <v>43</v>
      </c>
      <c r="F262" t="s">
        <v>142</v>
      </c>
      <c r="G262" t="s">
        <v>161</v>
      </c>
      <c r="H262">
        <v>126991</v>
      </c>
      <c r="I262" s="6">
        <v>40666</v>
      </c>
      <c r="J262">
        <v>15</v>
      </c>
      <c r="K262" t="s">
        <v>617</v>
      </c>
      <c r="L262" t="s">
        <v>120</v>
      </c>
      <c r="M262">
        <v>3</v>
      </c>
      <c r="N262" t="s">
        <v>1062</v>
      </c>
      <c r="O262" t="s">
        <v>1074</v>
      </c>
    </row>
    <row r="263" spans="1:15" x14ac:dyDescent="0.25">
      <c r="A263" t="s">
        <v>618</v>
      </c>
      <c r="B263" t="s">
        <v>469</v>
      </c>
      <c r="C263" t="s">
        <v>291</v>
      </c>
      <c r="D263" t="s">
        <v>8</v>
      </c>
      <c r="E263">
        <v>59</v>
      </c>
      <c r="F263" t="s">
        <v>142</v>
      </c>
      <c r="G263" t="s">
        <v>44</v>
      </c>
      <c r="H263">
        <v>48997.24</v>
      </c>
      <c r="I263" s="6">
        <v>38555</v>
      </c>
      <c r="J263">
        <v>21</v>
      </c>
      <c r="K263" t="s">
        <v>470</v>
      </c>
      <c r="L263" t="s">
        <v>107</v>
      </c>
      <c r="M263">
        <v>3</v>
      </c>
      <c r="N263" t="s">
        <v>1065</v>
      </c>
      <c r="O263" t="s">
        <v>1076</v>
      </c>
    </row>
    <row r="264" spans="1:15" x14ac:dyDescent="0.25">
      <c r="A264" t="s">
        <v>619</v>
      </c>
      <c r="B264" t="s">
        <v>514</v>
      </c>
      <c r="C264" t="s">
        <v>124</v>
      </c>
      <c r="D264" t="s">
        <v>23</v>
      </c>
      <c r="E264">
        <v>44</v>
      </c>
      <c r="F264" t="s">
        <v>154</v>
      </c>
      <c r="G264" t="s">
        <v>2</v>
      </c>
      <c r="H264">
        <v>59638.98</v>
      </c>
      <c r="I264" s="6">
        <v>40355</v>
      </c>
      <c r="J264">
        <v>16</v>
      </c>
      <c r="K264" t="s">
        <v>620</v>
      </c>
      <c r="L264" t="s">
        <v>14</v>
      </c>
      <c r="M264">
        <v>1</v>
      </c>
      <c r="N264" t="s">
        <v>1062</v>
      </c>
      <c r="O264" t="s">
        <v>1077</v>
      </c>
    </row>
    <row r="265" spans="1:15" x14ac:dyDescent="0.25">
      <c r="A265" t="s">
        <v>621</v>
      </c>
      <c r="B265" t="s">
        <v>334</v>
      </c>
      <c r="C265" t="s">
        <v>222</v>
      </c>
      <c r="D265" t="s">
        <v>1</v>
      </c>
      <c r="E265">
        <v>40</v>
      </c>
      <c r="F265" t="s">
        <v>181</v>
      </c>
      <c r="G265" t="s">
        <v>44</v>
      </c>
      <c r="H265">
        <v>47867.1</v>
      </c>
      <c r="I265" s="6">
        <v>43895</v>
      </c>
      <c r="J265">
        <v>6</v>
      </c>
      <c r="K265" t="s">
        <v>622</v>
      </c>
      <c r="L265" t="s">
        <v>207</v>
      </c>
      <c r="M265">
        <v>5</v>
      </c>
      <c r="N265" t="s">
        <v>1061</v>
      </c>
      <c r="O265" t="s">
        <v>1076</v>
      </c>
    </row>
    <row r="266" spans="1:15" x14ac:dyDescent="0.25">
      <c r="A266" t="s">
        <v>623</v>
      </c>
      <c r="B266" t="s">
        <v>624</v>
      </c>
      <c r="C266" t="s">
        <v>80</v>
      </c>
      <c r="D266" t="s">
        <v>8</v>
      </c>
      <c r="E266">
        <v>37</v>
      </c>
      <c r="F266" t="s">
        <v>203</v>
      </c>
      <c r="G266" t="s">
        <v>63</v>
      </c>
      <c r="H266">
        <v>50821</v>
      </c>
      <c r="I266" s="6">
        <v>44955</v>
      </c>
      <c r="J266">
        <v>3</v>
      </c>
      <c r="K266" t="s">
        <v>625</v>
      </c>
      <c r="L266" t="s">
        <v>85</v>
      </c>
      <c r="M266">
        <v>2</v>
      </c>
      <c r="N266" t="s">
        <v>1061</v>
      </c>
      <c r="O266" t="s">
        <v>1077</v>
      </c>
    </row>
    <row r="267" spans="1:15" x14ac:dyDescent="0.25">
      <c r="A267" t="s">
        <v>626</v>
      </c>
      <c r="B267" t="s">
        <v>6</v>
      </c>
      <c r="C267" t="s">
        <v>153</v>
      </c>
      <c r="D267" t="s">
        <v>8</v>
      </c>
      <c r="E267">
        <v>51</v>
      </c>
      <c r="F267" t="s">
        <v>142</v>
      </c>
      <c r="G267" t="s">
        <v>63</v>
      </c>
      <c r="H267">
        <v>67722</v>
      </c>
      <c r="I267" s="6">
        <v>38560</v>
      </c>
      <c r="J267">
        <v>21</v>
      </c>
      <c r="K267" t="s">
        <v>627</v>
      </c>
      <c r="L267" t="s">
        <v>85</v>
      </c>
      <c r="M267">
        <v>3</v>
      </c>
      <c r="N267" t="s">
        <v>1064</v>
      </c>
      <c r="O267" t="s">
        <v>1077</v>
      </c>
    </row>
    <row r="268" spans="1:15" x14ac:dyDescent="0.25">
      <c r="A268" t="s">
        <v>628</v>
      </c>
      <c r="B268" t="s">
        <v>624</v>
      </c>
      <c r="C268" t="s">
        <v>59</v>
      </c>
      <c r="D268" t="s">
        <v>8</v>
      </c>
      <c r="E268">
        <v>34</v>
      </c>
      <c r="F268" t="s">
        <v>32</v>
      </c>
      <c r="G268" t="s">
        <v>2</v>
      </c>
      <c r="H268">
        <v>107682</v>
      </c>
      <c r="I268" s="6">
        <v>43581</v>
      </c>
      <c r="J268">
        <v>7</v>
      </c>
      <c r="K268" t="s">
        <v>629</v>
      </c>
      <c r="L268" t="s">
        <v>19</v>
      </c>
      <c r="M268">
        <v>4</v>
      </c>
      <c r="N268" t="s">
        <v>1060</v>
      </c>
      <c r="O268" t="s">
        <v>1074</v>
      </c>
    </row>
    <row r="269" spans="1:15" x14ac:dyDescent="0.25">
      <c r="A269" t="s">
        <v>630</v>
      </c>
      <c r="B269" t="s">
        <v>232</v>
      </c>
      <c r="C269" t="s">
        <v>80</v>
      </c>
      <c r="D269" t="s">
        <v>23</v>
      </c>
      <c r="E269">
        <v>39</v>
      </c>
      <c r="F269" t="s">
        <v>36</v>
      </c>
      <c r="G269" t="s">
        <v>63</v>
      </c>
      <c r="H269">
        <v>91994</v>
      </c>
      <c r="I269" s="6">
        <v>41482</v>
      </c>
      <c r="J269">
        <v>13</v>
      </c>
      <c r="K269" t="s">
        <v>631</v>
      </c>
      <c r="L269" t="s">
        <v>4</v>
      </c>
      <c r="M269">
        <v>3</v>
      </c>
      <c r="N269" t="s">
        <v>1061</v>
      </c>
      <c r="O269" t="s">
        <v>1077</v>
      </c>
    </row>
    <row r="270" spans="1:15" x14ac:dyDescent="0.25">
      <c r="A270" t="s">
        <v>632</v>
      </c>
      <c r="B270" t="s">
        <v>633</v>
      </c>
      <c r="C270" t="s">
        <v>799</v>
      </c>
      <c r="D270" t="s">
        <v>23</v>
      </c>
      <c r="E270">
        <v>57</v>
      </c>
      <c r="F270" t="s">
        <v>142</v>
      </c>
      <c r="G270" t="s">
        <v>17</v>
      </c>
      <c r="H270">
        <v>55322</v>
      </c>
      <c r="I270" s="6">
        <v>39902</v>
      </c>
      <c r="J270">
        <v>17</v>
      </c>
      <c r="K270" t="s">
        <v>610</v>
      </c>
      <c r="L270" t="s">
        <v>25</v>
      </c>
      <c r="M270">
        <v>4</v>
      </c>
      <c r="N270" t="s">
        <v>1065</v>
      </c>
      <c r="O270" t="s">
        <v>1077</v>
      </c>
    </row>
    <row r="271" spans="1:15" x14ac:dyDescent="0.25">
      <c r="A271" t="s">
        <v>634</v>
      </c>
      <c r="B271" t="s">
        <v>514</v>
      </c>
      <c r="C271" t="s">
        <v>80</v>
      </c>
      <c r="D271" t="s">
        <v>1</v>
      </c>
      <c r="E271">
        <v>44</v>
      </c>
      <c r="F271" t="s">
        <v>181</v>
      </c>
      <c r="G271" t="s">
        <v>63</v>
      </c>
      <c r="H271">
        <v>61772</v>
      </c>
      <c r="I271" s="6">
        <v>43647</v>
      </c>
      <c r="J271">
        <v>7</v>
      </c>
      <c r="K271" t="s">
        <v>635</v>
      </c>
      <c r="L271" t="s">
        <v>28</v>
      </c>
      <c r="M271">
        <v>3</v>
      </c>
      <c r="N271" t="s">
        <v>1062</v>
      </c>
      <c r="O271" t="s">
        <v>1077</v>
      </c>
    </row>
    <row r="272" spans="1:15" x14ac:dyDescent="0.25">
      <c r="A272" t="s">
        <v>636</v>
      </c>
      <c r="B272" t="s">
        <v>451</v>
      </c>
      <c r="C272" t="s">
        <v>291</v>
      </c>
      <c r="D272" t="s">
        <v>23</v>
      </c>
      <c r="E272">
        <v>45</v>
      </c>
      <c r="F272" t="s">
        <v>154</v>
      </c>
      <c r="G272" t="s">
        <v>44</v>
      </c>
      <c r="H272">
        <v>42567</v>
      </c>
      <c r="I272" s="6">
        <v>40172</v>
      </c>
      <c r="J272">
        <v>16</v>
      </c>
      <c r="K272" t="s">
        <v>637</v>
      </c>
      <c r="L272" t="s">
        <v>65</v>
      </c>
      <c r="M272">
        <v>4</v>
      </c>
      <c r="N272" t="s">
        <v>1062</v>
      </c>
      <c r="O272" t="s">
        <v>1076</v>
      </c>
    </row>
    <row r="273" spans="1:15" x14ac:dyDescent="0.25">
      <c r="A273" t="s">
        <v>638</v>
      </c>
      <c r="B273" t="s">
        <v>132</v>
      </c>
      <c r="C273" t="s">
        <v>104</v>
      </c>
      <c r="D273" t="s">
        <v>23</v>
      </c>
      <c r="E273">
        <v>49</v>
      </c>
      <c r="F273" t="s">
        <v>36</v>
      </c>
      <c r="G273" t="s">
        <v>17</v>
      </c>
      <c r="H273">
        <v>90793</v>
      </c>
      <c r="I273" s="6">
        <v>40734</v>
      </c>
      <c r="J273">
        <v>15</v>
      </c>
      <c r="K273" t="s">
        <v>639</v>
      </c>
      <c r="L273" t="s">
        <v>65</v>
      </c>
      <c r="M273">
        <v>4</v>
      </c>
      <c r="N273" t="s">
        <v>1063</v>
      </c>
      <c r="O273" t="s">
        <v>1077</v>
      </c>
    </row>
    <row r="274" spans="1:15" x14ac:dyDescent="0.25">
      <c r="A274" t="s">
        <v>640</v>
      </c>
      <c r="B274" t="s">
        <v>268</v>
      </c>
      <c r="C274" t="s">
        <v>180</v>
      </c>
      <c r="D274" t="s">
        <v>8</v>
      </c>
      <c r="E274">
        <v>46</v>
      </c>
      <c r="F274" t="s">
        <v>36</v>
      </c>
      <c r="G274" t="s">
        <v>63</v>
      </c>
      <c r="H274">
        <v>91866</v>
      </c>
      <c r="I274" s="6">
        <v>44904</v>
      </c>
      <c r="J274">
        <v>3</v>
      </c>
      <c r="K274" t="s">
        <v>641</v>
      </c>
      <c r="L274" t="s">
        <v>54</v>
      </c>
      <c r="M274">
        <v>3</v>
      </c>
      <c r="N274" t="s">
        <v>1063</v>
      </c>
      <c r="O274" t="s">
        <v>1077</v>
      </c>
    </row>
    <row r="275" spans="1:15" x14ac:dyDescent="0.25">
      <c r="A275" t="s">
        <v>642</v>
      </c>
      <c r="B275" t="s">
        <v>316</v>
      </c>
      <c r="C275" t="s">
        <v>104</v>
      </c>
      <c r="D275" t="s">
        <v>1</v>
      </c>
      <c r="E275">
        <v>39</v>
      </c>
      <c r="F275" t="s">
        <v>36</v>
      </c>
      <c r="G275" t="s">
        <v>2</v>
      </c>
      <c r="H275">
        <v>121851.65</v>
      </c>
      <c r="I275" s="6">
        <v>42442</v>
      </c>
      <c r="J275">
        <v>10</v>
      </c>
      <c r="K275" t="s">
        <v>643</v>
      </c>
      <c r="L275" t="s">
        <v>120</v>
      </c>
      <c r="M275">
        <v>5</v>
      </c>
      <c r="N275" t="s">
        <v>1061</v>
      </c>
      <c r="O275" t="s">
        <v>1074</v>
      </c>
    </row>
    <row r="276" spans="1:15" x14ac:dyDescent="0.25">
      <c r="A276" t="s">
        <v>644</v>
      </c>
      <c r="B276" t="s">
        <v>21</v>
      </c>
      <c r="C276" t="s">
        <v>589</v>
      </c>
      <c r="D276" t="s">
        <v>1</v>
      </c>
      <c r="E276">
        <v>43</v>
      </c>
      <c r="F276" t="s">
        <v>295</v>
      </c>
      <c r="G276" t="s">
        <v>161</v>
      </c>
      <c r="H276">
        <v>156871</v>
      </c>
      <c r="I276" s="6">
        <v>40585</v>
      </c>
      <c r="J276">
        <v>15</v>
      </c>
      <c r="K276" t="s">
        <v>645</v>
      </c>
      <c r="L276" t="s">
        <v>39</v>
      </c>
      <c r="M276">
        <v>4</v>
      </c>
      <c r="N276" t="s">
        <v>1062</v>
      </c>
      <c r="O276" t="s">
        <v>1078</v>
      </c>
    </row>
    <row r="277" spans="1:15" x14ac:dyDescent="0.25">
      <c r="A277" t="s">
        <v>646</v>
      </c>
      <c r="B277" t="s">
        <v>282</v>
      </c>
      <c r="C277" t="s">
        <v>485</v>
      </c>
      <c r="D277" t="s">
        <v>8</v>
      </c>
      <c r="E277">
        <v>49</v>
      </c>
      <c r="F277" t="s">
        <v>154</v>
      </c>
      <c r="G277" t="s">
        <v>216</v>
      </c>
      <c r="H277">
        <v>111756</v>
      </c>
      <c r="I277" s="6">
        <v>38718</v>
      </c>
      <c r="J277">
        <v>20</v>
      </c>
      <c r="K277" t="s">
        <v>647</v>
      </c>
      <c r="L277" t="s">
        <v>107</v>
      </c>
      <c r="M277">
        <v>1</v>
      </c>
      <c r="N277" t="s">
        <v>1063</v>
      </c>
      <c r="O277" t="s">
        <v>1074</v>
      </c>
    </row>
    <row r="278" spans="1:15" x14ac:dyDescent="0.25">
      <c r="A278" t="s">
        <v>648</v>
      </c>
      <c r="B278" t="s">
        <v>530</v>
      </c>
      <c r="C278" t="s">
        <v>351</v>
      </c>
      <c r="D278" t="s">
        <v>8</v>
      </c>
      <c r="E278">
        <v>61</v>
      </c>
      <c r="F278" t="s">
        <v>203</v>
      </c>
      <c r="G278" t="s">
        <v>100</v>
      </c>
      <c r="H278">
        <v>50812.77</v>
      </c>
      <c r="I278" s="6">
        <v>38569</v>
      </c>
      <c r="J278">
        <v>21</v>
      </c>
      <c r="K278" t="s">
        <v>649</v>
      </c>
      <c r="L278" t="s">
        <v>28</v>
      </c>
      <c r="M278">
        <v>3</v>
      </c>
      <c r="N278" t="s">
        <v>1080</v>
      </c>
      <c r="O278" t="s">
        <v>1077</v>
      </c>
    </row>
    <row r="279" spans="1:15" x14ac:dyDescent="0.25">
      <c r="A279" t="s">
        <v>650</v>
      </c>
      <c r="B279" t="s">
        <v>316</v>
      </c>
      <c r="C279" t="s">
        <v>215</v>
      </c>
      <c r="D279" t="s">
        <v>23</v>
      </c>
      <c r="E279">
        <v>51</v>
      </c>
      <c r="F279" t="s">
        <v>295</v>
      </c>
      <c r="G279" t="s">
        <v>161</v>
      </c>
      <c r="H279">
        <v>159772</v>
      </c>
      <c r="I279" s="6">
        <v>44888</v>
      </c>
      <c r="J279">
        <v>3</v>
      </c>
      <c r="K279" t="s">
        <v>651</v>
      </c>
      <c r="L279" t="s">
        <v>54</v>
      </c>
      <c r="M279">
        <v>5</v>
      </c>
      <c r="N279" t="s">
        <v>1064</v>
      </c>
      <c r="O279" t="s">
        <v>1078</v>
      </c>
    </row>
    <row r="280" spans="1:15" x14ac:dyDescent="0.25">
      <c r="A280" t="s">
        <v>652</v>
      </c>
      <c r="B280" t="s">
        <v>355</v>
      </c>
      <c r="C280" t="s">
        <v>88</v>
      </c>
      <c r="D280" t="s">
        <v>8</v>
      </c>
      <c r="E280">
        <v>25</v>
      </c>
      <c r="F280" t="s">
        <v>32</v>
      </c>
      <c r="G280" t="s">
        <v>44</v>
      </c>
      <c r="H280">
        <v>69976</v>
      </c>
      <c r="I280" s="6">
        <v>44807</v>
      </c>
      <c r="J280">
        <v>4</v>
      </c>
      <c r="K280" t="s">
        <v>176</v>
      </c>
      <c r="L280" t="s">
        <v>54</v>
      </c>
      <c r="M280">
        <v>3</v>
      </c>
      <c r="N280" t="s">
        <v>1075</v>
      </c>
      <c r="O280" t="s">
        <v>1077</v>
      </c>
    </row>
    <row r="281" spans="1:15" x14ac:dyDescent="0.25">
      <c r="A281" t="s">
        <v>653</v>
      </c>
      <c r="B281" t="s">
        <v>6</v>
      </c>
      <c r="C281" t="s">
        <v>562</v>
      </c>
      <c r="D281" t="s">
        <v>23</v>
      </c>
      <c r="E281">
        <v>32</v>
      </c>
      <c r="F281" t="s">
        <v>1066</v>
      </c>
      <c r="G281" t="s">
        <v>44</v>
      </c>
      <c r="H281">
        <v>66020</v>
      </c>
      <c r="I281" s="6">
        <v>43265</v>
      </c>
      <c r="J281">
        <v>8</v>
      </c>
      <c r="K281" t="s">
        <v>605</v>
      </c>
      <c r="L281" t="s">
        <v>14</v>
      </c>
      <c r="M281">
        <v>4</v>
      </c>
      <c r="N281" t="s">
        <v>1060</v>
      </c>
      <c r="O281" t="s">
        <v>1077</v>
      </c>
    </row>
    <row r="282" spans="1:15" x14ac:dyDescent="0.25">
      <c r="A282" t="s">
        <v>654</v>
      </c>
      <c r="B282" t="s">
        <v>184</v>
      </c>
      <c r="C282" t="s">
        <v>76</v>
      </c>
      <c r="D282" t="s">
        <v>23</v>
      </c>
      <c r="E282">
        <v>46</v>
      </c>
      <c r="F282" t="s">
        <v>203</v>
      </c>
      <c r="G282" t="s">
        <v>161</v>
      </c>
      <c r="H282">
        <v>100765</v>
      </c>
      <c r="I282" s="6">
        <v>39391</v>
      </c>
      <c r="J282">
        <v>18</v>
      </c>
      <c r="K282" t="s">
        <v>655</v>
      </c>
      <c r="L282" t="s">
        <v>65</v>
      </c>
      <c r="M282">
        <v>3</v>
      </c>
      <c r="N282" t="s">
        <v>1063</v>
      </c>
      <c r="O282" t="s">
        <v>1074</v>
      </c>
    </row>
    <row r="283" spans="1:15" x14ac:dyDescent="0.25">
      <c r="A283" t="s">
        <v>656</v>
      </c>
      <c r="B283" t="s">
        <v>132</v>
      </c>
      <c r="C283" t="s">
        <v>104</v>
      </c>
      <c r="D283" t="s">
        <v>1</v>
      </c>
      <c r="E283">
        <v>27</v>
      </c>
      <c r="F283" t="s">
        <v>142</v>
      </c>
      <c r="G283" t="s">
        <v>44</v>
      </c>
      <c r="H283">
        <v>48738.79</v>
      </c>
      <c r="I283" s="6">
        <v>44075</v>
      </c>
      <c r="J283">
        <v>6</v>
      </c>
      <c r="K283" t="s">
        <v>639</v>
      </c>
      <c r="L283" t="s">
        <v>28</v>
      </c>
      <c r="M283">
        <v>3</v>
      </c>
      <c r="N283" t="s">
        <v>1075</v>
      </c>
      <c r="O283" t="s">
        <v>1076</v>
      </c>
    </row>
    <row r="284" spans="1:15" x14ac:dyDescent="0.25">
      <c r="A284" t="s">
        <v>657</v>
      </c>
      <c r="B284" t="s">
        <v>290</v>
      </c>
      <c r="C284" t="s">
        <v>308</v>
      </c>
      <c r="D284" t="s">
        <v>1</v>
      </c>
      <c r="E284">
        <v>29</v>
      </c>
      <c r="F284" t="s">
        <v>142</v>
      </c>
      <c r="G284" t="s">
        <v>44</v>
      </c>
      <c r="H284">
        <v>51819</v>
      </c>
      <c r="I284" s="6">
        <v>43464</v>
      </c>
      <c r="J284">
        <v>7</v>
      </c>
      <c r="K284" t="s">
        <v>658</v>
      </c>
      <c r="L284" t="s">
        <v>11</v>
      </c>
      <c r="M284">
        <v>4</v>
      </c>
      <c r="N284" t="s">
        <v>1075</v>
      </c>
      <c r="O284" t="s">
        <v>1077</v>
      </c>
    </row>
    <row r="285" spans="1:15" x14ac:dyDescent="0.25">
      <c r="A285" t="s">
        <v>659</v>
      </c>
      <c r="B285" t="s">
        <v>56</v>
      </c>
      <c r="C285" t="s">
        <v>589</v>
      </c>
      <c r="D285" t="s">
        <v>1</v>
      </c>
      <c r="E285">
        <v>25</v>
      </c>
      <c r="F285" t="s">
        <v>9</v>
      </c>
      <c r="G285" t="s">
        <v>161</v>
      </c>
      <c r="H285">
        <v>187464</v>
      </c>
      <c r="I285" s="6"/>
      <c r="K285" t="s">
        <v>57</v>
      </c>
      <c r="L285" t="s">
        <v>49</v>
      </c>
      <c r="M285">
        <v>5</v>
      </c>
      <c r="N285" t="s">
        <v>1075</v>
      </c>
      <c r="O285" t="s">
        <v>1078</v>
      </c>
    </row>
    <row r="286" spans="1:15" x14ac:dyDescent="0.25">
      <c r="A286" t="s">
        <v>660</v>
      </c>
      <c r="B286" t="s">
        <v>290</v>
      </c>
      <c r="C286" t="s">
        <v>375</v>
      </c>
      <c r="D286" t="s">
        <v>8</v>
      </c>
      <c r="E286">
        <v>44</v>
      </c>
      <c r="F286" t="s">
        <v>133</v>
      </c>
      <c r="G286" t="s">
        <v>2</v>
      </c>
      <c r="H286">
        <v>86065</v>
      </c>
      <c r="I286" s="6">
        <v>40191</v>
      </c>
      <c r="J286">
        <v>16</v>
      </c>
      <c r="K286" t="s">
        <v>661</v>
      </c>
      <c r="L286" t="s">
        <v>19</v>
      </c>
      <c r="M286">
        <v>3</v>
      </c>
      <c r="N286" t="s">
        <v>1062</v>
      </c>
      <c r="O286" t="s">
        <v>1077</v>
      </c>
    </row>
    <row r="287" spans="1:15" x14ac:dyDescent="0.25">
      <c r="A287" t="s">
        <v>662</v>
      </c>
      <c r="B287" t="s">
        <v>282</v>
      </c>
      <c r="C287" t="s">
        <v>263</v>
      </c>
      <c r="D287" t="s">
        <v>23</v>
      </c>
      <c r="E287">
        <v>48</v>
      </c>
      <c r="F287" t="s">
        <v>181</v>
      </c>
      <c r="G287" t="s">
        <v>105</v>
      </c>
      <c r="H287">
        <v>106942</v>
      </c>
      <c r="I287" s="6">
        <v>38664</v>
      </c>
      <c r="J287">
        <v>20</v>
      </c>
      <c r="K287" t="s">
        <v>663</v>
      </c>
      <c r="L287" t="s">
        <v>85</v>
      </c>
      <c r="M287">
        <v>3</v>
      </c>
      <c r="N287" t="s">
        <v>1063</v>
      </c>
      <c r="O287" t="s">
        <v>1074</v>
      </c>
    </row>
    <row r="288" spans="1:15" x14ac:dyDescent="0.25">
      <c r="A288" t="s">
        <v>664</v>
      </c>
      <c r="B288" t="s">
        <v>316</v>
      </c>
      <c r="C288" t="s">
        <v>16</v>
      </c>
      <c r="D288" t="s">
        <v>8</v>
      </c>
      <c r="E288">
        <v>49</v>
      </c>
      <c r="F288" t="s">
        <v>295</v>
      </c>
      <c r="G288" t="s">
        <v>2</v>
      </c>
      <c r="H288">
        <v>109895.84</v>
      </c>
      <c r="I288" s="6">
        <v>43509</v>
      </c>
      <c r="J288">
        <v>7</v>
      </c>
      <c r="K288" t="s">
        <v>665</v>
      </c>
      <c r="L288" t="s">
        <v>65</v>
      </c>
      <c r="M288">
        <v>3</v>
      </c>
      <c r="N288" t="s">
        <v>1063</v>
      </c>
      <c r="O288" t="s">
        <v>1074</v>
      </c>
    </row>
    <row r="289" spans="1:15" x14ac:dyDescent="0.25">
      <c r="A289" t="s">
        <v>666</v>
      </c>
      <c r="B289" t="s">
        <v>378</v>
      </c>
      <c r="C289" t="s">
        <v>356</v>
      </c>
      <c r="D289" t="s">
        <v>1</v>
      </c>
      <c r="E289">
        <v>44</v>
      </c>
      <c r="F289" t="s">
        <v>133</v>
      </c>
      <c r="G289" t="s">
        <v>44</v>
      </c>
      <c r="H289">
        <v>51047</v>
      </c>
      <c r="I289" s="6">
        <v>44430</v>
      </c>
      <c r="J289">
        <v>5</v>
      </c>
      <c r="K289" t="s">
        <v>667</v>
      </c>
      <c r="L289" t="s">
        <v>107</v>
      </c>
      <c r="M289">
        <v>5</v>
      </c>
      <c r="N289" t="s">
        <v>1062</v>
      </c>
      <c r="O289" t="s">
        <v>1077</v>
      </c>
    </row>
    <row r="290" spans="1:15" x14ac:dyDescent="0.25">
      <c r="A290" t="s">
        <v>668</v>
      </c>
      <c r="B290" t="s">
        <v>47</v>
      </c>
      <c r="C290" t="s">
        <v>291</v>
      </c>
      <c r="D290" t="s">
        <v>23</v>
      </c>
      <c r="E290">
        <v>47</v>
      </c>
      <c r="F290" t="s">
        <v>142</v>
      </c>
      <c r="G290" t="s">
        <v>2</v>
      </c>
      <c r="H290">
        <v>81502</v>
      </c>
      <c r="I290" s="6">
        <v>43598</v>
      </c>
      <c r="J290">
        <v>7</v>
      </c>
      <c r="K290" t="s">
        <v>669</v>
      </c>
      <c r="L290" t="s">
        <v>107</v>
      </c>
      <c r="M290">
        <v>3</v>
      </c>
      <c r="N290" t="s">
        <v>1063</v>
      </c>
      <c r="O290" t="s">
        <v>1077</v>
      </c>
    </row>
    <row r="291" spans="1:15" x14ac:dyDescent="0.25">
      <c r="A291" t="s">
        <v>670</v>
      </c>
      <c r="B291" t="s">
        <v>232</v>
      </c>
      <c r="C291" t="s">
        <v>402</v>
      </c>
      <c r="D291" t="s">
        <v>1</v>
      </c>
      <c r="E291">
        <v>41</v>
      </c>
      <c r="F291" t="s">
        <v>9</v>
      </c>
      <c r="G291" t="s">
        <v>2</v>
      </c>
      <c r="H291">
        <v>129554</v>
      </c>
      <c r="I291" s="6">
        <v>41061</v>
      </c>
      <c r="J291">
        <v>14</v>
      </c>
      <c r="K291" t="s">
        <v>671</v>
      </c>
      <c r="L291" t="s">
        <v>120</v>
      </c>
      <c r="M291">
        <v>4</v>
      </c>
      <c r="N291" t="s">
        <v>1062</v>
      </c>
      <c r="O291" t="s">
        <v>1074</v>
      </c>
    </row>
    <row r="292" spans="1:15" x14ac:dyDescent="0.25">
      <c r="A292" t="s">
        <v>672</v>
      </c>
      <c r="B292" t="s">
        <v>62</v>
      </c>
      <c r="C292" t="s">
        <v>485</v>
      </c>
      <c r="D292" t="s">
        <v>8</v>
      </c>
      <c r="E292">
        <v>54</v>
      </c>
      <c r="F292" t="s">
        <v>36</v>
      </c>
      <c r="G292" t="s">
        <v>37</v>
      </c>
      <c r="H292">
        <v>94940</v>
      </c>
      <c r="I292" s="6">
        <v>39752</v>
      </c>
      <c r="J292">
        <v>17</v>
      </c>
      <c r="K292" t="s">
        <v>585</v>
      </c>
      <c r="L292" t="s">
        <v>54</v>
      </c>
      <c r="M292">
        <v>3</v>
      </c>
      <c r="N292" t="s">
        <v>1064</v>
      </c>
      <c r="O292" t="s">
        <v>1077</v>
      </c>
    </row>
    <row r="293" spans="1:15" x14ac:dyDescent="0.25">
      <c r="A293" t="s">
        <v>673</v>
      </c>
      <c r="B293" t="s">
        <v>67</v>
      </c>
      <c r="C293" t="s">
        <v>962</v>
      </c>
      <c r="D293" t="s">
        <v>8</v>
      </c>
      <c r="E293">
        <v>44</v>
      </c>
      <c r="F293" t="s">
        <v>142</v>
      </c>
      <c r="G293" t="s">
        <v>44</v>
      </c>
      <c r="H293">
        <v>45311.98</v>
      </c>
      <c r="I293" s="6">
        <v>40566</v>
      </c>
      <c r="J293">
        <v>15</v>
      </c>
      <c r="K293" t="s">
        <v>674</v>
      </c>
      <c r="L293" t="s">
        <v>19</v>
      </c>
      <c r="M293">
        <v>5</v>
      </c>
      <c r="N293" t="s">
        <v>1062</v>
      </c>
      <c r="O293" t="s">
        <v>1076</v>
      </c>
    </row>
    <row r="294" spans="1:15" x14ac:dyDescent="0.25">
      <c r="A294" t="s">
        <v>675</v>
      </c>
      <c r="B294" t="s">
        <v>132</v>
      </c>
      <c r="C294" t="s">
        <v>80</v>
      </c>
      <c r="D294" t="s">
        <v>1</v>
      </c>
      <c r="E294">
        <v>38</v>
      </c>
      <c r="F294" t="s">
        <v>203</v>
      </c>
      <c r="G294" t="s">
        <v>37</v>
      </c>
      <c r="H294">
        <v>64240</v>
      </c>
      <c r="I294" s="6">
        <v>42846</v>
      </c>
      <c r="J294">
        <v>9</v>
      </c>
      <c r="K294" t="s">
        <v>676</v>
      </c>
      <c r="L294" t="s">
        <v>39</v>
      </c>
      <c r="M294">
        <v>4</v>
      </c>
      <c r="N294" t="s">
        <v>1061</v>
      </c>
      <c r="O294" t="s">
        <v>1077</v>
      </c>
    </row>
    <row r="295" spans="1:15" x14ac:dyDescent="0.25">
      <c r="A295" t="s">
        <v>677</v>
      </c>
      <c r="B295" t="s">
        <v>221</v>
      </c>
      <c r="C295" t="s">
        <v>22</v>
      </c>
      <c r="D295" t="s">
        <v>1</v>
      </c>
      <c r="E295">
        <v>46</v>
      </c>
      <c r="F295" t="s">
        <v>181</v>
      </c>
      <c r="G295" t="s">
        <v>100</v>
      </c>
      <c r="H295">
        <v>48311</v>
      </c>
      <c r="I295" s="6">
        <v>45513</v>
      </c>
      <c r="J295">
        <v>2</v>
      </c>
      <c r="K295" t="s">
        <v>678</v>
      </c>
      <c r="L295" t="s">
        <v>39</v>
      </c>
      <c r="M295">
        <v>5</v>
      </c>
      <c r="N295" t="s">
        <v>1063</v>
      </c>
      <c r="O295" t="s">
        <v>1076</v>
      </c>
    </row>
    <row r="296" spans="1:15" x14ac:dyDescent="0.25">
      <c r="A296" t="s">
        <v>679</v>
      </c>
      <c r="B296" t="s">
        <v>282</v>
      </c>
      <c r="C296" t="s">
        <v>22</v>
      </c>
      <c r="D296" t="s">
        <v>23</v>
      </c>
      <c r="E296">
        <v>44</v>
      </c>
      <c r="F296" t="s">
        <v>9</v>
      </c>
      <c r="G296" t="s">
        <v>63</v>
      </c>
      <c r="H296">
        <v>88797.22</v>
      </c>
      <c r="I296" s="6">
        <v>38391</v>
      </c>
      <c r="J296">
        <v>21</v>
      </c>
      <c r="K296" t="s">
        <v>206</v>
      </c>
      <c r="L296" t="s">
        <v>207</v>
      </c>
      <c r="M296">
        <v>5</v>
      </c>
      <c r="N296" t="s">
        <v>1062</v>
      </c>
      <c r="O296" t="s">
        <v>1077</v>
      </c>
    </row>
    <row r="297" spans="1:15" x14ac:dyDescent="0.25">
      <c r="A297" t="s">
        <v>680</v>
      </c>
      <c r="B297" t="s">
        <v>79</v>
      </c>
      <c r="C297" t="s">
        <v>180</v>
      </c>
      <c r="D297" t="s">
        <v>23</v>
      </c>
      <c r="E297">
        <v>24</v>
      </c>
      <c r="F297" t="s">
        <v>142</v>
      </c>
      <c r="G297" t="s">
        <v>2</v>
      </c>
      <c r="H297">
        <v>80667</v>
      </c>
      <c r="I297" s="6"/>
      <c r="K297" t="s">
        <v>358</v>
      </c>
      <c r="L297" t="s">
        <v>4</v>
      </c>
      <c r="M297">
        <v>3</v>
      </c>
      <c r="N297" t="s">
        <v>1075</v>
      </c>
      <c r="O297" t="s">
        <v>1077</v>
      </c>
    </row>
    <row r="298" spans="1:15" x14ac:dyDescent="0.25">
      <c r="A298" t="s">
        <v>681</v>
      </c>
      <c r="B298" t="s">
        <v>21</v>
      </c>
      <c r="C298" t="s">
        <v>485</v>
      </c>
      <c r="D298" t="s">
        <v>8</v>
      </c>
      <c r="E298">
        <v>38</v>
      </c>
      <c r="F298" t="s">
        <v>295</v>
      </c>
      <c r="G298" t="s">
        <v>17</v>
      </c>
      <c r="H298">
        <v>65324</v>
      </c>
      <c r="I298" s="6">
        <v>45557</v>
      </c>
      <c r="J298">
        <v>2</v>
      </c>
      <c r="K298" t="s">
        <v>682</v>
      </c>
      <c r="L298" t="s">
        <v>120</v>
      </c>
      <c r="M298">
        <v>4</v>
      </c>
      <c r="N298" t="s">
        <v>1061</v>
      </c>
      <c r="O298" t="s">
        <v>1077</v>
      </c>
    </row>
    <row r="299" spans="1:15" x14ac:dyDescent="0.25">
      <c r="A299" t="s">
        <v>683</v>
      </c>
      <c r="B299" t="s">
        <v>633</v>
      </c>
      <c r="C299" t="s">
        <v>394</v>
      </c>
      <c r="D299" t="s">
        <v>1</v>
      </c>
      <c r="E299">
        <v>33</v>
      </c>
      <c r="F299" t="s">
        <v>36</v>
      </c>
      <c r="G299" t="s">
        <v>17</v>
      </c>
      <c r="H299">
        <v>84707.520000000004</v>
      </c>
      <c r="I299" s="6">
        <v>43150</v>
      </c>
      <c r="J299">
        <v>8</v>
      </c>
      <c r="K299" t="s">
        <v>684</v>
      </c>
      <c r="L299" t="s">
        <v>4</v>
      </c>
      <c r="M299">
        <v>5</v>
      </c>
      <c r="N299" t="s">
        <v>1060</v>
      </c>
      <c r="O299" t="s">
        <v>1077</v>
      </c>
    </row>
    <row r="300" spans="1:15" x14ac:dyDescent="0.25">
      <c r="A300" t="s">
        <v>685</v>
      </c>
      <c r="B300" t="s">
        <v>103</v>
      </c>
      <c r="C300" t="s">
        <v>141</v>
      </c>
      <c r="D300" t="s">
        <v>1</v>
      </c>
      <c r="E300">
        <v>33</v>
      </c>
      <c r="F300" t="s">
        <v>1066</v>
      </c>
      <c r="G300" t="s">
        <v>37</v>
      </c>
      <c r="H300">
        <v>58991</v>
      </c>
      <c r="I300" s="6"/>
      <c r="K300" t="s">
        <v>686</v>
      </c>
      <c r="L300" t="s">
        <v>28</v>
      </c>
      <c r="M300">
        <v>4</v>
      </c>
      <c r="N300" t="s">
        <v>1060</v>
      </c>
      <c r="O300" t="s">
        <v>1077</v>
      </c>
    </row>
    <row r="301" spans="1:15" x14ac:dyDescent="0.25">
      <c r="A301" t="s">
        <v>687</v>
      </c>
      <c r="B301" t="s">
        <v>633</v>
      </c>
      <c r="C301" t="s">
        <v>138</v>
      </c>
      <c r="D301" t="s">
        <v>23</v>
      </c>
      <c r="E301">
        <v>63</v>
      </c>
      <c r="F301" t="s">
        <v>133</v>
      </c>
      <c r="G301" t="s">
        <v>44</v>
      </c>
      <c r="H301">
        <v>58339</v>
      </c>
      <c r="I301" s="6">
        <v>38429</v>
      </c>
      <c r="J301">
        <v>21</v>
      </c>
      <c r="K301" t="s">
        <v>688</v>
      </c>
      <c r="L301" t="s">
        <v>19</v>
      </c>
      <c r="M301">
        <v>4</v>
      </c>
      <c r="N301" t="s">
        <v>1080</v>
      </c>
      <c r="O301" t="s">
        <v>1077</v>
      </c>
    </row>
    <row r="302" spans="1:15" x14ac:dyDescent="0.25">
      <c r="A302" t="s">
        <v>689</v>
      </c>
      <c r="B302" t="s">
        <v>290</v>
      </c>
      <c r="C302" t="s">
        <v>91</v>
      </c>
      <c r="D302" t="s">
        <v>23</v>
      </c>
      <c r="E302">
        <v>25</v>
      </c>
      <c r="F302" t="s">
        <v>313</v>
      </c>
      <c r="G302" t="s">
        <v>2</v>
      </c>
      <c r="H302">
        <v>133742</v>
      </c>
      <c r="I302" s="6">
        <v>45358</v>
      </c>
      <c r="J302">
        <v>2</v>
      </c>
      <c r="K302" t="s">
        <v>690</v>
      </c>
      <c r="L302" t="s">
        <v>19</v>
      </c>
      <c r="M302">
        <v>5</v>
      </c>
      <c r="N302" t="s">
        <v>1075</v>
      </c>
      <c r="O302" t="s">
        <v>1074</v>
      </c>
    </row>
    <row r="303" spans="1:15" x14ac:dyDescent="0.25">
      <c r="A303" t="s">
        <v>691</v>
      </c>
      <c r="B303" t="s">
        <v>43</v>
      </c>
      <c r="C303" t="s">
        <v>308</v>
      </c>
      <c r="D303" t="s">
        <v>8</v>
      </c>
      <c r="E303">
        <v>56</v>
      </c>
      <c r="F303" t="s">
        <v>154</v>
      </c>
      <c r="G303" t="s">
        <v>63</v>
      </c>
      <c r="H303">
        <v>50497</v>
      </c>
      <c r="I303" s="6">
        <v>39092</v>
      </c>
      <c r="J303">
        <v>19</v>
      </c>
      <c r="K303" t="s">
        <v>293</v>
      </c>
      <c r="L303" t="s">
        <v>28</v>
      </c>
      <c r="M303">
        <v>3</v>
      </c>
      <c r="N303" t="s">
        <v>1065</v>
      </c>
      <c r="O303" t="s">
        <v>1077</v>
      </c>
    </row>
    <row r="304" spans="1:15" x14ac:dyDescent="0.25">
      <c r="A304" t="s">
        <v>692</v>
      </c>
      <c r="B304" t="s">
        <v>334</v>
      </c>
      <c r="C304" t="s">
        <v>166</v>
      </c>
      <c r="D304" t="s">
        <v>23</v>
      </c>
      <c r="E304">
        <v>47</v>
      </c>
      <c r="F304" t="s">
        <v>36</v>
      </c>
      <c r="G304" t="s">
        <v>105</v>
      </c>
      <c r="H304">
        <v>143791</v>
      </c>
      <c r="I304" s="6">
        <v>40439</v>
      </c>
      <c r="J304">
        <v>16</v>
      </c>
      <c r="K304" t="s">
        <v>693</v>
      </c>
      <c r="L304" t="s">
        <v>14</v>
      </c>
      <c r="M304">
        <v>3</v>
      </c>
      <c r="N304" t="s">
        <v>1063</v>
      </c>
      <c r="O304" t="s">
        <v>1074</v>
      </c>
    </row>
    <row r="305" spans="1:15" x14ac:dyDescent="0.25">
      <c r="A305" t="s">
        <v>694</v>
      </c>
      <c r="B305" t="s">
        <v>476</v>
      </c>
      <c r="C305" t="s">
        <v>222</v>
      </c>
      <c r="D305" t="s">
        <v>8</v>
      </c>
      <c r="E305">
        <v>52</v>
      </c>
      <c r="F305" t="s">
        <v>181</v>
      </c>
      <c r="G305" t="s">
        <v>216</v>
      </c>
      <c r="H305">
        <v>137899.69</v>
      </c>
      <c r="I305" s="6">
        <v>38364</v>
      </c>
      <c r="J305">
        <v>21</v>
      </c>
      <c r="K305" t="s">
        <v>695</v>
      </c>
      <c r="L305" t="s">
        <v>54</v>
      </c>
      <c r="M305">
        <v>3</v>
      </c>
      <c r="N305" t="s">
        <v>1064</v>
      </c>
      <c r="O305" t="s">
        <v>1074</v>
      </c>
    </row>
    <row r="306" spans="1:15" x14ac:dyDescent="0.25">
      <c r="A306" t="s">
        <v>696</v>
      </c>
      <c r="B306" t="s">
        <v>184</v>
      </c>
      <c r="C306" t="s">
        <v>68</v>
      </c>
      <c r="D306" t="s">
        <v>1</v>
      </c>
      <c r="E306">
        <v>27</v>
      </c>
      <c r="F306" t="s">
        <v>36</v>
      </c>
      <c r="G306" t="s">
        <v>17</v>
      </c>
      <c r="H306">
        <v>98014.7</v>
      </c>
      <c r="I306" s="6">
        <v>45149</v>
      </c>
      <c r="J306">
        <v>3</v>
      </c>
      <c r="K306" t="s">
        <v>697</v>
      </c>
      <c r="L306" t="s">
        <v>49</v>
      </c>
      <c r="M306">
        <v>4</v>
      </c>
      <c r="N306" t="s">
        <v>1075</v>
      </c>
      <c r="O306" t="s">
        <v>1077</v>
      </c>
    </row>
    <row r="307" spans="1:15" x14ac:dyDescent="0.25">
      <c r="A307" t="s">
        <v>698</v>
      </c>
      <c r="B307" t="s">
        <v>514</v>
      </c>
      <c r="C307" t="s">
        <v>16</v>
      </c>
      <c r="D307" t="s">
        <v>23</v>
      </c>
      <c r="E307">
        <v>49</v>
      </c>
      <c r="F307" t="s">
        <v>1066</v>
      </c>
      <c r="G307" t="s">
        <v>44</v>
      </c>
      <c r="H307">
        <v>56599</v>
      </c>
      <c r="I307" s="6">
        <v>42302</v>
      </c>
      <c r="J307">
        <v>10</v>
      </c>
      <c r="K307" t="s">
        <v>162</v>
      </c>
      <c r="L307" t="s">
        <v>39</v>
      </c>
      <c r="M307">
        <v>2</v>
      </c>
      <c r="N307" t="s">
        <v>1063</v>
      </c>
      <c r="O307" t="s">
        <v>1077</v>
      </c>
    </row>
    <row r="308" spans="1:15" x14ac:dyDescent="0.25">
      <c r="A308" t="s">
        <v>699</v>
      </c>
      <c r="B308" t="s">
        <v>47</v>
      </c>
      <c r="C308" t="s">
        <v>962</v>
      </c>
      <c r="D308" t="s">
        <v>23</v>
      </c>
      <c r="E308">
        <v>41</v>
      </c>
      <c r="F308" t="s">
        <v>133</v>
      </c>
      <c r="G308" t="s">
        <v>44</v>
      </c>
      <c r="H308">
        <v>52054</v>
      </c>
      <c r="I308" s="6">
        <v>41121</v>
      </c>
      <c r="J308">
        <v>14</v>
      </c>
      <c r="K308" t="s">
        <v>700</v>
      </c>
      <c r="L308" t="s">
        <v>85</v>
      </c>
      <c r="M308">
        <v>4</v>
      </c>
      <c r="N308" t="s">
        <v>1062</v>
      </c>
      <c r="O308" t="s">
        <v>1077</v>
      </c>
    </row>
    <row r="309" spans="1:15" x14ac:dyDescent="0.25">
      <c r="A309" t="s">
        <v>701</v>
      </c>
      <c r="B309" t="s">
        <v>132</v>
      </c>
      <c r="C309" t="s">
        <v>124</v>
      </c>
      <c r="D309" t="s">
        <v>8</v>
      </c>
      <c r="E309">
        <v>49</v>
      </c>
      <c r="F309" t="s">
        <v>9</v>
      </c>
      <c r="G309" t="s">
        <v>100</v>
      </c>
      <c r="H309">
        <v>75203.97</v>
      </c>
      <c r="I309" s="6">
        <v>40972</v>
      </c>
      <c r="J309">
        <v>14</v>
      </c>
      <c r="K309" t="s">
        <v>702</v>
      </c>
      <c r="L309" t="s">
        <v>39</v>
      </c>
      <c r="M309">
        <v>4</v>
      </c>
      <c r="N309" t="s">
        <v>1063</v>
      </c>
      <c r="O309" t="s">
        <v>1077</v>
      </c>
    </row>
    <row r="310" spans="1:15" x14ac:dyDescent="0.25">
      <c r="A310" t="s">
        <v>703</v>
      </c>
      <c r="B310" t="s">
        <v>99</v>
      </c>
      <c r="C310" t="s">
        <v>16</v>
      </c>
      <c r="D310" t="s">
        <v>23</v>
      </c>
      <c r="E310">
        <v>28</v>
      </c>
      <c r="F310" t="s">
        <v>295</v>
      </c>
      <c r="G310" t="s">
        <v>63</v>
      </c>
      <c r="H310">
        <v>83175</v>
      </c>
      <c r="I310" s="6"/>
      <c r="K310" t="s">
        <v>704</v>
      </c>
      <c r="L310" t="s">
        <v>25</v>
      </c>
      <c r="M310">
        <v>3</v>
      </c>
      <c r="N310" t="s">
        <v>1075</v>
      </c>
      <c r="O310" t="s">
        <v>1077</v>
      </c>
    </row>
    <row r="311" spans="1:15" x14ac:dyDescent="0.25">
      <c r="A311" t="s">
        <v>705</v>
      </c>
      <c r="B311" t="s">
        <v>282</v>
      </c>
      <c r="C311" t="s">
        <v>88</v>
      </c>
      <c r="D311" t="s">
        <v>8</v>
      </c>
      <c r="E311">
        <v>24</v>
      </c>
      <c r="F311" t="s">
        <v>142</v>
      </c>
      <c r="G311" t="s">
        <v>17</v>
      </c>
      <c r="H311">
        <v>54146</v>
      </c>
      <c r="I311" s="6"/>
      <c r="K311" t="s">
        <v>706</v>
      </c>
      <c r="L311" t="s">
        <v>25</v>
      </c>
      <c r="M311">
        <v>4</v>
      </c>
      <c r="N311" t="s">
        <v>1075</v>
      </c>
      <c r="O311" t="s">
        <v>1077</v>
      </c>
    </row>
    <row r="312" spans="1:15" x14ac:dyDescent="0.25">
      <c r="A312" t="s">
        <v>707</v>
      </c>
      <c r="B312" t="s">
        <v>451</v>
      </c>
      <c r="C312" t="s">
        <v>562</v>
      </c>
      <c r="D312" t="s">
        <v>23</v>
      </c>
      <c r="E312">
        <v>45</v>
      </c>
      <c r="F312" t="s">
        <v>133</v>
      </c>
      <c r="G312" t="s">
        <v>105</v>
      </c>
      <c r="H312">
        <v>103968.73</v>
      </c>
      <c r="I312" s="6">
        <v>40908</v>
      </c>
      <c r="J312">
        <v>14</v>
      </c>
      <c r="K312" t="s">
        <v>708</v>
      </c>
      <c r="L312" t="s">
        <v>39</v>
      </c>
      <c r="M312">
        <v>3</v>
      </c>
      <c r="N312" t="s">
        <v>1062</v>
      </c>
      <c r="O312" t="s">
        <v>1074</v>
      </c>
    </row>
    <row r="313" spans="1:15" x14ac:dyDescent="0.25">
      <c r="A313" t="s">
        <v>709</v>
      </c>
      <c r="B313" t="s">
        <v>378</v>
      </c>
      <c r="C313" t="s">
        <v>351</v>
      </c>
      <c r="D313" t="s">
        <v>8</v>
      </c>
      <c r="E313">
        <v>30</v>
      </c>
      <c r="F313" t="s">
        <v>32</v>
      </c>
      <c r="G313" t="s">
        <v>44</v>
      </c>
      <c r="H313">
        <v>74194</v>
      </c>
      <c r="I313" s="6">
        <v>44594</v>
      </c>
      <c r="J313">
        <v>4</v>
      </c>
      <c r="K313" t="s">
        <v>710</v>
      </c>
      <c r="L313" t="s">
        <v>54</v>
      </c>
      <c r="M313">
        <v>5</v>
      </c>
      <c r="N313" t="s">
        <v>1075</v>
      </c>
      <c r="O313" t="s">
        <v>1077</v>
      </c>
    </row>
    <row r="314" spans="1:15" x14ac:dyDescent="0.25">
      <c r="A314" t="s">
        <v>711</v>
      </c>
      <c r="B314" t="s">
        <v>268</v>
      </c>
      <c r="C314" t="s">
        <v>104</v>
      </c>
      <c r="D314" t="s">
        <v>23</v>
      </c>
      <c r="E314">
        <v>50</v>
      </c>
      <c r="F314" t="s">
        <v>154</v>
      </c>
      <c r="G314" t="s">
        <v>100</v>
      </c>
      <c r="H314">
        <v>39494.410000000003</v>
      </c>
      <c r="I314" s="6">
        <v>41246</v>
      </c>
      <c r="J314">
        <v>13</v>
      </c>
      <c r="K314" t="s">
        <v>712</v>
      </c>
      <c r="L314" t="s">
        <v>19</v>
      </c>
      <c r="M314">
        <v>4</v>
      </c>
      <c r="N314" t="s">
        <v>1063</v>
      </c>
      <c r="O314" t="s">
        <v>1076</v>
      </c>
    </row>
    <row r="315" spans="1:15" x14ac:dyDescent="0.25">
      <c r="A315" t="s">
        <v>713</v>
      </c>
      <c r="B315" t="s">
        <v>714</v>
      </c>
      <c r="C315" t="s">
        <v>104</v>
      </c>
      <c r="D315" t="s">
        <v>23</v>
      </c>
      <c r="E315">
        <v>45</v>
      </c>
      <c r="F315" t="s">
        <v>36</v>
      </c>
      <c r="G315" t="s">
        <v>2</v>
      </c>
      <c r="H315">
        <v>131324</v>
      </c>
      <c r="I315" s="6">
        <v>40217</v>
      </c>
      <c r="J315">
        <v>16</v>
      </c>
      <c r="K315" t="s">
        <v>510</v>
      </c>
      <c r="L315" t="s">
        <v>65</v>
      </c>
      <c r="M315">
        <v>2</v>
      </c>
      <c r="N315" t="s">
        <v>1062</v>
      </c>
      <c r="O315" t="s">
        <v>1074</v>
      </c>
    </row>
    <row r="316" spans="1:15" x14ac:dyDescent="0.25">
      <c r="A316" t="s">
        <v>715</v>
      </c>
      <c r="B316" t="s">
        <v>115</v>
      </c>
      <c r="C316" t="s">
        <v>76</v>
      </c>
      <c r="D316" t="s">
        <v>23</v>
      </c>
      <c r="E316">
        <v>39</v>
      </c>
      <c r="F316" t="s">
        <v>313</v>
      </c>
      <c r="G316" t="s">
        <v>17</v>
      </c>
      <c r="H316">
        <v>102116</v>
      </c>
      <c r="I316" s="6">
        <v>40838</v>
      </c>
      <c r="J316">
        <v>14</v>
      </c>
      <c r="K316" t="s">
        <v>716</v>
      </c>
      <c r="L316" t="s">
        <v>65</v>
      </c>
      <c r="M316">
        <v>4</v>
      </c>
      <c r="N316" t="s">
        <v>1061</v>
      </c>
      <c r="O316" t="s">
        <v>1074</v>
      </c>
    </row>
    <row r="317" spans="1:15" x14ac:dyDescent="0.25">
      <c r="A317" t="s">
        <v>717</v>
      </c>
      <c r="B317" t="s">
        <v>378</v>
      </c>
      <c r="C317" t="s">
        <v>80</v>
      </c>
      <c r="D317" t="s">
        <v>1</v>
      </c>
      <c r="E317">
        <v>42</v>
      </c>
      <c r="F317" t="s">
        <v>9</v>
      </c>
      <c r="G317" t="s">
        <v>17</v>
      </c>
      <c r="H317">
        <v>81112.27</v>
      </c>
      <c r="I317" s="6">
        <v>39735</v>
      </c>
      <c r="J317">
        <v>17</v>
      </c>
      <c r="K317" t="s">
        <v>718</v>
      </c>
      <c r="L317" t="s">
        <v>4</v>
      </c>
      <c r="M317">
        <v>3</v>
      </c>
      <c r="N317" t="s">
        <v>1062</v>
      </c>
      <c r="O317" t="s">
        <v>1077</v>
      </c>
    </row>
    <row r="318" spans="1:15" x14ac:dyDescent="0.25">
      <c r="A318" t="s">
        <v>719</v>
      </c>
      <c r="B318" t="s">
        <v>232</v>
      </c>
      <c r="C318" t="s">
        <v>180</v>
      </c>
      <c r="D318" t="s">
        <v>23</v>
      </c>
      <c r="E318">
        <v>48</v>
      </c>
      <c r="F318" t="s">
        <v>181</v>
      </c>
      <c r="G318" t="s">
        <v>44</v>
      </c>
      <c r="H318">
        <v>46224.26</v>
      </c>
      <c r="I318" s="6">
        <v>43169</v>
      </c>
      <c r="J318">
        <v>8</v>
      </c>
      <c r="K318" t="s">
        <v>720</v>
      </c>
      <c r="L318" t="s">
        <v>120</v>
      </c>
      <c r="M318">
        <v>4</v>
      </c>
      <c r="N318" t="s">
        <v>1063</v>
      </c>
      <c r="O318" t="s">
        <v>1076</v>
      </c>
    </row>
    <row r="319" spans="1:15" x14ac:dyDescent="0.25">
      <c r="A319" t="s">
        <v>721</v>
      </c>
      <c r="B319" t="s">
        <v>94</v>
      </c>
      <c r="C319" t="s">
        <v>80</v>
      </c>
      <c r="D319" t="s">
        <v>8</v>
      </c>
      <c r="E319">
        <v>42</v>
      </c>
      <c r="F319" t="s">
        <v>36</v>
      </c>
      <c r="G319" t="s">
        <v>44</v>
      </c>
      <c r="H319">
        <v>94088</v>
      </c>
      <c r="I319" s="6">
        <v>39801</v>
      </c>
      <c r="J319">
        <v>17</v>
      </c>
      <c r="K319" t="s">
        <v>722</v>
      </c>
      <c r="L319" t="s">
        <v>25</v>
      </c>
      <c r="M319">
        <v>4</v>
      </c>
      <c r="N319" t="s">
        <v>1062</v>
      </c>
      <c r="O319" t="s">
        <v>1077</v>
      </c>
    </row>
    <row r="320" spans="1:15" x14ac:dyDescent="0.25">
      <c r="A320" t="s">
        <v>723</v>
      </c>
      <c r="B320" t="s">
        <v>79</v>
      </c>
      <c r="C320" t="s">
        <v>485</v>
      </c>
      <c r="D320" t="s">
        <v>1</v>
      </c>
      <c r="E320">
        <v>50</v>
      </c>
      <c r="F320" t="s">
        <v>1066</v>
      </c>
      <c r="G320" t="s">
        <v>44</v>
      </c>
      <c r="H320">
        <v>66020</v>
      </c>
      <c r="I320" s="6">
        <v>39322</v>
      </c>
      <c r="J320">
        <v>19</v>
      </c>
      <c r="K320" t="s">
        <v>724</v>
      </c>
      <c r="L320" t="s">
        <v>107</v>
      </c>
      <c r="M320">
        <v>3</v>
      </c>
      <c r="N320" t="s">
        <v>1063</v>
      </c>
      <c r="O320" t="s">
        <v>1077</v>
      </c>
    </row>
    <row r="321" spans="1:15" x14ac:dyDescent="0.25">
      <c r="A321" t="s">
        <v>725</v>
      </c>
      <c r="B321" t="s">
        <v>316</v>
      </c>
      <c r="C321" t="s">
        <v>962</v>
      </c>
      <c r="D321" t="s">
        <v>8</v>
      </c>
      <c r="E321">
        <v>36</v>
      </c>
      <c r="F321" t="s">
        <v>154</v>
      </c>
      <c r="G321" t="s">
        <v>37</v>
      </c>
      <c r="H321">
        <v>55262</v>
      </c>
      <c r="I321" s="6">
        <v>43213</v>
      </c>
      <c r="J321">
        <v>8</v>
      </c>
      <c r="K321" t="s">
        <v>726</v>
      </c>
      <c r="L321" t="s">
        <v>107</v>
      </c>
      <c r="M321">
        <v>2</v>
      </c>
      <c r="N321" t="s">
        <v>1061</v>
      </c>
      <c r="O321" t="s">
        <v>1077</v>
      </c>
    </row>
    <row r="322" spans="1:15" x14ac:dyDescent="0.25">
      <c r="A322" t="s">
        <v>727</v>
      </c>
      <c r="B322" t="s">
        <v>451</v>
      </c>
      <c r="C322" t="s">
        <v>356</v>
      </c>
      <c r="D322" t="s">
        <v>1</v>
      </c>
      <c r="E322">
        <v>29</v>
      </c>
      <c r="F322" t="s">
        <v>154</v>
      </c>
      <c r="G322" t="s">
        <v>216</v>
      </c>
      <c r="H322">
        <v>111675</v>
      </c>
      <c r="I322" s="6">
        <v>43358</v>
      </c>
      <c r="J322">
        <v>8</v>
      </c>
      <c r="K322" t="s">
        <v>728</v>
      </c>
      <c r="L322" t="s">
        <v>207</v>
      </c>
      <c r="M322">
        <v>5</v>
      </c>
      <c r="N322" t="s">
        <v>1075</v>
      </c>
      <c r="O322" t="s">
        <v>1074</v>
      </c>
    </row>
    <row r="323" spans="1:15" x14ac:dyDescent="0.25">
      <c r="A323" t="s">
        <v>729</v>
      </c>
      <c r="B323" t="s">
        <v>476</v>
      </c>
      <c r="C323" t="s">
        <v>291</v>
      </c>
      <c r="D323" t="s">
        <v>23</v>
      </c>
      <c r="E323">
        <v>40</v>
      </c>
      <c r="F323" t="s">
        <v>133</v>
      </c>
      <c r="G323" t="s">
        <v>63</v>
      </c>
      <c r="H323">
        <v>62430</v>
      </c>
      <c r="I323" s="6">
        <v>44170</v>
      </c>
      <c r="J323">
        <v>5</v>
      </c>
      <c r="K323" t="s">
        <v>518</v>
      </c>
      <c r="L323" t="s">
        <v>11</v>
      </c>
      <c r="M323">
        <v>3</v>
      </c>
      <c r="N323" t="s">
        <v>1061</v>
      </c>
      <c r="O323" t="s">
        <v>1077</v>
      </c>
    </row>
    <row r="324" spans="1:15" x14ac:dyDescent="0.25">
      <c r="A324" t="s">
        <v>730</v>
      </c>
      <c r="B324" t="s">
        <v>530</v>
      </c>
      <c r="C324" t="s">
        <v>104</v>
      </c>
      <c r="D324" t="s">
        <v>8</v>
      </c>
      <c r="E324">
        <v>43</v>
      </c>
      <c r="F324" t="s">
        <v>313</v>
      </c>
      <c r="G324" t="s">
        <v>44</v>
      </c>
      <c r="H324">
        <v>89574.81</v>
      </c>
      <c r="I324" s="6">
        <v>45401</v>
      </c>
      <c r="J324">
        <v>2</v>
      </c>
      <c r="K324" t="s">
        <v>731</v>
      </c>
      <c r="L324" t="s">
        <v>207</v>
      </c>
      <c r="M324">
        <v>3</v>
      </c>
      <c r="N324" t="s">
        <v>1062</v>
      </c>
      <c r="O324" t="s">
        <v>1077</v>
      </c>
    </row>
    <row r="325" spans="1:15" x14ac:dyDescent="0.25">
      <c r="A325" t="s">
        <v>732</v>
      </c>
      <c r="B325" t="s">
        <v>714</v>
      </c>
      <c r="C325" t="s">
        <v>562</v>
      </c>
      <c r="D325" t="s">
        <v>8</v>
      </c>
      <c r="E325">
        <v>56</v>
      </c>
      <c r="F325" t="s">
        <v>9</v>
      </c>
      <c r="G325" t="s">
        <v>37</v>
      </c>
      <c r="H325">
        <v>101858.75</v>
      </c>
      <c r="I325" s="6">
        <v>39032</v>
      </c>
      <c r="J325">
        <v>19</v>
      </c>
      <c r="K325" t="s">
        <v>733</v>
      </c>
      <c r="L325" t="s">
        <v>14</v>
      </c>
      <c r="M325">
        <v>4</v>
      </c>
      <c r="N325" t="s">
        <v>1065</v>
      </c>
      <c r="O325" t="s">
        <v>1074</v>
      </c>
    </row>
    <row r="326" spans="1:15" x14ac:dyDescent="0.25">
      <c r="A326" t="s">
        <v>734</v>
      </c>
      <c r="B326" t="s">
        <v>79</v>
      </c>
      <c r="C326" t="s">
        <v>169</v>
      </c>
      <c r="D326" t="s">
        <v>8</v>
      </c>
      <c r="E326">
        <v>43</v>
      </c>
      <c r="F326" t="s">
        <v>203</v>
      </c>
      <c r="G326" t="s">
        <v>100</v>
      </c>
      <c r="H326">
        <v>44257</v>
      </c>
      <c r="I326" s="6">
        <v>41491</v>
      </c>
      <c r="J326">
        <v>13</v>
      </c>
      <c r="K326" t="s">
        <v>735</v>
      </c>
      <c r="L326" t="s">
        <v>4</v>
      </c>
      <c r="M326">
        <v>4</v>
      </c>
      <c r="N326" t="s">
        <v>1062</v>
      </c>
      <c r="O326" t="s">
        <v>1076</v>
      </c>
    </row>
    <row r="327" spans="1:15" x14ac:dyDescent="0.25">
      <c r="A327" t="s">
        <v>736</v>
      </c>
      <c r="B327" t="s">
        <v>132</v>
      </c>
      <c r="C327" t="s">
        <v>427</v>
      </c>
      <c r="D327" t="s">
        <v>8</v>
      </c>
      <c r="E327">
        <v>51</v>
      </c>
      <c r="F327" t="s">
        <v>142</v>
      </c>
      <c r="G327" t="s">
        <v>17</v>
      </c>
      <c r="H327">
        <v>53141</v>
      </c>
      <c r="I327" s="6">
        <v>38495</v>
      </c>
      <c r="J327">
        <v>21</v>
      </c>
      <c r="K327" t="s">
        <v>737</v>
      </c>
      <c r="L327" t="s">
        <v>39</v>
      </c>
      <c r="M327">
        <v>3</v>
      </c>
      <c r="N327" t="s">
        <v>1064</v>
      </c>
      <c r="O327" t="s">
        <v>1077</v>
      </c>
    </row>
    <row r="328" spans="1:15" x14ac:dyDescent="0.25">
      <c r="A328" t="s">
        <v>738</v>
      </c>
      <c r="B328" t="s">
        <v>73</v>
      </c>
      <c r="C328" t="s">
        <v>16</v>
      </c>
      <c r="D328" t="s">
        <v>8</v>
      </c>
      <c r="E328">
        <v>38</v>
      </c>
      <c r="F328" t="s">
        <v>203</v>
      </c>
      <c r="G328" t="s">
        <v>63</v>
      </c>
      <c r="H328">
        <v>59311</v>
      </c>
      <c r="I328" s="6">
        <v>41059</v>
      </c>
      <c r="J328">
        <v>14</v>
      </c>
      <c r="K328" t="s">
        <v>739</v>
      </c>
      <c r="L328" t="s">
        <v>49</v>
      </c>
      <c r="M328">
        <v>2</v>
      </c>
      <c r="N328" t="s">
        <v>1061</v>
      </c>
      <c r="O328" t="s">
        <v>1077</v>
      </c>
    </row>
    <row r="329" spans="1:15" x14ac:dyDescent="0.25">
      <c r="A329" t="s">
        <v>740</v>
      </c>
      <c r="B329" t="s">
        <v>79</v>
      </c>
      <c r="C329" t="s">
        <v>287</v>
      </c>
      <c r="D329" t="s">
        <v>8</v>
      </c>
      <c r="E329">
        <v>39</v>
      </c>
      <c r="F329" t="s">
        <v>154</v>
      </c>
      <c r="G329" t="s">
        <v>63</v>
      </c>
      <c r="H329">
        <v>53058.79</v>
      </c>
      <c r="I329" s="6">
        <v>40609</v>
      </c>
      <c r="J329">
        <v>15</v>
      </c>
      <c r="K329" t="s">
        <v>741</v>
      </c>
      <c r="L329" t="s">
        <v>120</v>
      </c>
      <c r="M329">
        <v>3</v>
      </c>
      <c r="N329" t="s">
        <v>1061</v>
      </c>
      <c r="O329" t="s">
        <v>1077</v>
      </c>
    </row>
    <row r="330" spans="1:15" x14ac:dyDescent="0.25">
      <c r="A330" t="s">
        <v>742</v>
      </c>
      <c r="B330" t="s">
        <v>451</v>
      </c>
      <c r="C330" t="s">
        <v>80</v>
      </c>
      <c r="D330" t="s">
        <v>1</v>
      </c>
      <c r="E330">
        <v>45</v>
      </c>
      <c r="F330" t="s">
        <v>154</v>
      </c>
      <c r="G330" t="s">
        <v>17</v>
      </c>
      <c r="H330">
        <v>46074</v>
      </c>
      <c r="I330" s="6">
        <v>41701</v>
      </c>
      <c r="J330">
        <v>12</v>
      </c>
      <c r="K330" t="s">
        <v>743</v>
      </c>
      <c r="L330" t="s">
        <v>120</v>
      </c>
      <c r="M330">
        <v>2</v>
      </c>
      <c r="N330" t="s">
        <v>1062</v>
      </c>
      <c r="O330" t="s">
        <v>1076</v>
      </c>
    </row>
    <row r="331" spans="1:15" x14ac:dyDescent="0.25">
      <c r="A331" t="s">
        <v>744</v>
      </c>
      <c r="B331" t="s">
        <v>624</v>
      </c>
      <c r="C331" t="s">
        <v>118</v>
      </c>
      <c r="D331" t="s">
        <v>1</v>
      </c>
      <c r="E331">
        <v>43</v>
      </c>
      <c r="F331" t="s">
        <v>295</v>
      </c>
      <c r="G331" t="s">
        <v>37</v>
      </c>
      <c r="H331">
        <v>81920</v>
      </c>
      <c r="I331" s="6">
        <v>45438</v>
      </c>
      <c r="J331">
        <v>2</v>
      </c>
      <c r="K331" t="s">
        <v>745</v>
      </c>
      <c r="L331" t="s">
        <v>11</v>
      </c>
      <c r="M331">
        <v>2</v>
      </c>
      <c r="N331" t="s">
        <v>1062</v>
      </c>
      <c r="O331" t="s">
        <v>1077</v>
      </c>
    </row>
    <row r="332" spans="1:15" x14ac:dyDescent="0.25">
      <c r="A332" t="s">
        <v>746</v>
      </c>
      <c r="B332" t="s">
        <v>30</v>
      </c>
      <c r="C332" t="s">
        <v>22</v>
      </c>
      <c r="D332" t="s">
        <v>23</v>
      </c>
      <c r="E332">
        <v>37</v>
      </c>
      <c r="F332" t="s">
        <v>9</v>
      </c>
      <c r="G332" t="s">
        <v>37</v>
      </c>
      <c r="H332">
        <v>99448.735000000001</v>
      </c>
      <c r="I332" s="6">
        <v>43254</v>
      </c>
      <c r="J332">
        <v>8</v>
      </c>
      <c r="K332" t="s">
        <v>548</v>
      </c>
      <c r="L332" t="s">
        <v>19</v>
      </c>
      <c r="M332">
        <v>3</v>
      </c>
      <c r="N332" t="s">
        <v>1061</v>
      </c>
      <c r="O332" t="s">
        <v>1077</v>
      </c>
    </row>
    <row r="333" spans="1:15" x14ac:dyDescent="0.25">
      <c r="A333" t="s">
        <v>747</v>
      </c>
      <c r="B333" t="s">
        <v>127</v>
      </c>
      <c r="C333" t="s">
        <v>80</v>
      </c>
      <c r="D333" t="s">
        <v>8</v>
      </c>
      <c r="E333">
        <v>51</v>
      </c>
      <c r="F333" t="s">
        <v>181</v>
      </c>
      <c r="G333" t="s">
        <v>37</v>
      </c>
      <c r="H333">
        <v>58853</v>
      </c>
      <c r="I333" s="6">
        <v>40101</v>
      </c>
      <c r="J333">
        <v>16</v>
      </c>
      <c r="K333" t="s">
        <v>748</v>
      </c>
      <c r="L333" t="s">
        <v>39</v>
      </c>
      <c r="M333">
        <v>2</v>
      </c>
      <c r="N333" t="s">
        <v>1064</v>
      </c>
      <c r="O333" t="s">
        <v>1077</v>
      </c>
    </row>
    <row r="334" spans="1:15" x14ac:dyDescent="0.25">
      <c r="A334" t="s">
        <v>749</v>
      </c>
      <c r="B334" t="s">
        <v>16</v>
      </c>
      <c r="C334" t="s">
        <v>80</v>
      </c>
      <c r="D334" t="s">
        <v>8</v>
      </c>
      <c r="E334">
        <v>41</v>
      </c>
      <c r="F334" t="s">
        <v>313</v>
      </c>
      <c r="G334" t="s">
        <v>17</v>
      </c>
      <c r="H334">
        <v>109424</v>
      </c>
      <c r="I334" s="6">
        <v>41159</v>
      </c>
      <c r="J334">
        <v>14</v>
      </c>
      <c r="K334" t="s">
        <v>750</v>
      </c>
      <c r="L334" t="s">
        <v>25</v>
      </c>
      <c r="M334">
        <v>4</v>
      </c>
      <c r="N334" t="s">
        <v>1062</v>
      </c>
      <c r="O334" t="s">
        <v>1074</v>
      </c>
    </row>
    <row r="335" spans="1:15" x14ac:dyDescent="0.25">
      <c r="A335" t="s">
        <v>751</v>
      </c>
      <c r="B335" t="s">
        <v>87</v>
      </c>
      <c r="C335" t="s">
        <v>80</v>
      </c>
      <c r="D335" t="s">
        <v>23</v>
      </c>
      <c r="E335">
        <v>37</v>
      </c>
      <c r="F335" t="s">
        <v>32</v>
      </c>
      <c r="G335" t="s">
        <v>2</v>
      </c>
      <c r="H335">
        <v>105764</v>
      </c>
      <c r="I335" s="6">
        <v>40364</v>
      </c>
      <c r="J335">
        <v>16</v>
      </c>
      <c r="K335" t="s">
        <v>752</v>
      </c>
      <c r="L335" t="s">
        <v>207</v>
      </c>
      <c r="M335">
        <v>4</v>
      </c>
      <c r="N335" t="s">
        <v>1061</v>
      </c>
      <c r="O335" t="s">
        <v>1074</v>
      </c>
    </row>
    <row r="336" spans="1:15" x14ac:dyDescent="0.25">
      <c r="A336" t="s">
        <v>753</v>
      </c>
      <c r="B336" t="s">
        <v>316</v>
      </c>
      <c r="C336" t="s">
        <v>263</v>
      </c>
      <c r="D336" t="s">
        <v>8</v>
      </c>
      <c r="E336">
        <v>51</v>
      </c>
      <c r="F336" t="s">
        <v>133</v>
      </c>
      <c r="G336" t="s">
        <v>17</v>
      </c>
      <c r="H336">
        <v>59100</v>
      </c>
      <c r="I336" s="6">
        <v>38960</v>
      </c>
      <c r="J336">
        <v>20</v>
      </c>
      <c r="K336" t="s">
        <v>754</v>
      </c>
      <c r="L336" t="s">
        <v>207</v>
      </c>
      <c r="M336">
        <v>3</v>
      </c>
      <c r="N336" t="s">
        <v>1064</v>
      </c>
      <c r="O336" t="s">
        <v>1077</v>
      </c>
    </row>
    <row r="337" spans="1:15" x14ac:dyDescent="0.25">
      <c r="A337" t="s">
        <v>755</v>
      </c>
      <c r="B337" t="s">
        <v>115</v>
      </c>
      <c r="C337" t="s">
        <v>308</v>
      </c>
      <c r="D337" t="s">
        <v>8</v>
      </c>
      <c r="E337">
        <v>30</v>
      </c>
      <c r="F337" t="s">
        <v>142</v>
      </c>
      <c r="G337" t="s">
        <v>63</v>
      </c>
      <c r="H337">
        <v>60466</v>
      </c>
      <c r="I337" s="6">
        <v>45604</v>
      </c>
      <c r="J337">
        <v>1</v>
      </c>
      <c r="K337" t="s">
        <v>581</v>
      </c>
      <c r="L337" t="s">
        <v>54</v>
      </c>
      <c r="M337">
        <v>3</v>
      </c>
      <c r="N337" t="s">
        <v>1075</v>
      </c>
      <c r="O337" t="s">
        <v>1077</v>
      </c>
    </row>
    <row r="338" spans="1:15" x14ac:dyDescent="0.25">
      <c r="A338" t="s">
        <v>756</v>
      </c>
      <c r="B338" t="s">
        <v>47</v>
      </c>
      <c r="C338" t="s">
        <v>166</v>
      </c>
      <c r="D338" t="s">
        <v>1</v>
      </c>
      <c r="E338">
        <v>34</v>
      </c>
      <c r="F338" t="s">
        <v>154</v>
      </c>
      <c r="G338" t="s">
        <v>44</v>
      </c>
      <c r="H338">
        <v>39847.53</v>
      </c>
      <c r="I338" s="6">
        <v>41742</v>
      </c>
      <c r="J338">
        <v>12</v>
      </c>
      <c r="K338" t="s">
        <v>757</v>
      </c>
      <c r="L338" t="s">
        <v>107</v>
      </c>
      <c r="M338">
        <v>3</v>
      </c>
      <c r="N338" t="s">
        <v>1060</v>
      </c>
      <c r="O338" t="s">
        <v>1076</v>
      </c>
    </row>
    <row r="339" spans="1:15" x14ac:dyDescent="0.25">
      <c r="A339" t="s">
        <v>758</v>
      </c>
      <c r="B339" t="s">
        <v>624</v>
      </c>
      <c r="C339" t="s">
        <v>291</v>
      </c>
      <c r="D339" t="s">
        <v>1</v>
      </c>
      <c r="E339">
        <v>59</v>
      </c>
      <c r="F339" t="s">
        <v>32</v>
      </c>
      <c r="G339" t="s">
        <v>105</v>
      </c>
      <c r="H339">
        <v>125555.04</v>
      </c>
      <c r="I339" s="6">
        <v>39114</v>
      </c>
      <c r="J339">
        <v>19</v>
      </c>
      <c r="K339" t="s">
        <v>759</v>
      </c>
      <c r="L339" t="s">
        <v>207</v>
      </c>
      <c r="M339">
        <v>4</v>
      </c>
      <c r="N339" t="s">
        <v>1065</v>
      </c>
      <c r="O339" t="s">
        <v>1074</v>
      </c>
    </row>
    <row r="340" spans="1:15" x14ac:dyDescent="0.25">
      <c r="A340" t="s">
        <v>760</v>
      </c>
      <c r="B340" t="s">
        <v>624</v>
      </c>
      <c r="C340" t="s">
        <v>215</v>
      </c>
      <c r="D340" t="s">
        <v>8</v>
      </c>
      <c r="E340">
        <v>49</v>
      </c>
      <c r="F340" t="s">
        <v>36</v>
      </c>
      <c r="G340" t="s">
        <v>100</v>
      </c>
      <c r="H340">
        <v>79105.425000000003</v>
      </c>
      <c r="I340" s="6">
        <v>40503</v>
      </c>
      <c r="J340">
        <v>15</v>
      </c>
      <c r="K340" t="s">
        <v>761</v>
      </c>
      <c r="L340" t="s">
        <v>11</v>
      </c>
      <c r="M340">
        <v>3</v>
      </c>
      <c r="N340" t="s">
        <v>1063</v>
      </c>
      <c r="O340" t="s">
        <v>1077</v>
      </c>
    </row>
    <row r="341" spans="1:15" x14ac:dyDescent="0.25">
      <c r="A341" t="s">
        <v>762</v>
      </c>
      <c r="B341" t="s">
        <v>56</v>
      </c>
      <c r="C341" t="s">
        <v>138</v>
      </c>
      <c r="D341" t="s">
        <v>1</v>
      </c>
      <c r="E341">
        <v>34</v>
      </c>
      <c r="F341" t="s">
        <v>181</v>
      </c>
      <c r="G341" t="s">
        <v>2</v>
      </c>
      <c r="H341">
        <v>74897</v>
      </c>
      <c r="I341" s="6">
        <v>42072</v>
      </c>
      <c r="J341">
        <v>11</v>
      </c>
      <c r="K341" t="s">
        <v>763</v>
      </c>
      <c r="L341" t="s">
        <v>11</v>
      </c>
      <c r="M341">
        <v>4</v>
      </c>
      <c r="N341" t="s">
        <v>1060</v>
      </c>
      <c r="O341" t="s">
        <v>1077</v>
      </c>
    </row>
    <row r="342" spans="1:15" x14ac:dyDescent="0.25">
      <c r="A342" t="s">
        <v>764</v>
      </c>
      <c r="B342" t="s">
        <v>94</v>
      </c>
      <c r="C342" t="s">
        <v>88</v>
      </c>
      <c r="D342" t="s">
        <v>1</v>
      </c>
      <c r="E342">
        <v>47</v>
      </c>
      <c r="F342" t="s">
        <v>142</v>
      </c>
      <c r="G342" t="s">
        <v>44</v>
      </c>
      <c r="H342">
        <v>57119</v>
      </c>
      <c r="I342" s="6">
        <v>39657</v>
      </c>
      <c r="J342">
        <v>18</v>
      </c>
      <c r="K342" t="s">
        <v>765</v>
      </c>
      <c r="L342" t="s">
        <v>11</v>
      </c>
      <c r="M342">
        <v>4</v>
      </c>
      <c r="N342" t="s">
        <v>1063</v>
      </c>
      <c r="O342" t="s">
        <v>1077</v>
      </c>
    </row>
    <row r="343" spans="1:15" x14ac:dyDescent="0.25">
      <c r="A343" t="s">
        <v>766</v>
      </c>
      <c r="B343" t="s">
        <v>476</v>
      </c>
      <c r="C343" t="s">
        <v>35</v>
      </c>
      <c r="D343" t="s">
        <v>8</v>
      </c>
      <c r="E343">
        <v>41</v>
      </c>
      <c r="F343" t="s">
        <v>154</v>
      </c>
      <c r="G343" t="s">
        <v>17</v>
      </c>
      <c r="H343">
        <v>39695</v>
      </c>
      <c r="I343" s="6">
        <v>41355</v>
      </c>
      <c r="J343">
        <v>13</v>
      </c>
      <c r="K343" t="s">
        <v>767</v>
      </c>
      <c r="L343" t="s">
        <v>4</v>
      </c>
      <c r="M343">
        <v>3</v>
      </c>
      <c r="N343" t="s">
        <v>1062</v>
      </c>
      <c r="O343" t="s">
        <v>1076</v>
      </c>
    </row>
    <row r="344" spans="1:15" x14ac:dyDescent="0.25">
      <c r="A344" t="s">
        <v>768</v>
      </c>
      <c r="B344" t="s">
        <v>633</v>
      </c>
      <c r="C344" t="s">
        <v>7</v>
      </c>
      <c r="D344" t="s">
        <v>1</v>
      </c>
      <c r="E344">
        <v>53</v>
      </c>
      <c r="F344" t="s">
        <v>203</v>
      </c>
      <c r="G344" t="s">
        <v>44</v>
      </c>
      <c r="H344">
        <v>45617</v>
      </c>
      <c r="I344" s="6">
        <v>39453</v>
      </c>
      <c r="J344">
        <v>18</v>
      </c>
      <c r="K344" t="s">
        <v>769</v>
      </c>
      <c r="L344" t="s">
        <v>19</v>
      </c>
      <c r="M344">
        <v>3</v>
      </c>
      <c r="N344" t="s">
        <v>1064</v>
      </c>
      <c r="O344" t="s">
        <v>1076</v>
      </c>
    </row>
    <row r="345" spans="1:15" x14ac:dyDescent="0.25">
      <c r="A345" t="s">
        <v>770</v>
      </c>
      <c r="B345" t="s">
        <v>115</v>
      </c>
      <c r="C345" t="s">
        <v>452</v>
      </c>
      <c r="D345" t="s">
        <v>1</v>
      </c>
      <c r="E345">
        <v>44</v>
      </c>
      <c r="F345" t="s">
        <v>142</v>
      </c>
      <c r="G345" t="s">
        <v>63</v>
      </c>
      <c r="H345">
        <v>64737</v>
      </c>
      <c r="I345" s="6">
        <v>42261</v>
      </c>
      <c r="J345">
        <v>11</v>
      </c>
      <c r="K345" t="s">
        <v>771</v>
      </c>
      <c r="L345" t="s">
        <v>28</v>
      </c>
      <c r="M345">
        <v>5</v>
      </c>
      <c r="N345" t="s">
        <v>1062</v>
      </c>
      <c r="O345" t="s">
        <v>1077</v>
      </c>
    </row>
    <row r="346" spans="1:15" x14ac:dyDescent="0.25">
      <c r="A346" t="s">
        <v>772</v>
      </c>
      <c r="B346" t="s">
        <v>16</v>
      </c>
      <c r="C346" t="s">
        <v>169</v>
      </c>
      <c r="D346" t="s">
        <v>1</v>
      </c>
      <c r="E346">
        <v>52</v>
      </c>
      <c r="F346" t="s">
        <v>295</v>
      </c>
      <c r="G346" t="s">
        <v>2</v>
      </c>
      <c r="H346">
        <v>112323</v>
      </c>
      <c r="I346" s="6">
        <v>43175</v>
      </c>
      <c r="J346">
        <v>8</v>
      </c>
      <c r="K346" t="s">
        <v>280</v>
      </c>
      <c r="L346" t="s">
        <v>49</v>
      </c>
      <c r="M346">
        <v>3</v>
      </c>
      <c r="N346" t="s">
        <v>1064</v>
      </c>
      <c r="O346" t="s">
        <v>1074</v>
      </c>
    </row>
    <row r="347" spans="1:15" x14ac:dyDescent="0.25">
      <c r="A347" t="s">
        <v>773</v>
      </c>
      <c r="B347" t="s">
        <v>87</v>
      </c>
      <c r="C347" t="s">
        <v>59</v>
      </c>
      <c r="D347" t="s">
        <v>8</v>
      </c>
      <c r="E347">
        <v>47</v>
      </c>
      <c r="F347" t="s">
        <v>36</v>
      </c>
      <c r="G347" t="s">
        <v>63</v>
      </c>
      <c r="H347">
        <v>89767</v>
      </c>
      <c r="I347" s="6">
        <v>39352</v>
      </c>
      <c r="J347">
        <v>19</v>
      </c>
      <c r="K347" t="s">
        <v>774</v>
      </c>
      <c r="L347" t="s">
        <v>85</v>
      </c>
      <c r="M347">
        <v>4</v>
      </c>
      <c r="N347" t="s">
        <v>1063</v>
      </c>
      <c r="O347" t="s">
        <v>1077</v>
      </c>
    </row>
    <row r="348" spans="1:15" x14ac:dyDescent="0.25">
      <c r="A348" t="s">
        <v>775</v>
      </c>
      <c r="B348" t="s">
        <v>30</v>
      </c>
      <c r="C348" t="s">
        <v>68</v>
      </c>
      <c r="D348" t="s">
        <v>23</v>
      </c>
      <c r="E348">
        <v>46</v>
      </c>
      <c r="F348" t="s">
        <v>32</v>
      </c>
      <c r="G348" t="s">
        <v>105</v>
      </c>
      <c r="H348">
        <v>119523.56</v>
      </c>
      <c r="I348" s="6">
        <v>39007</v>
      </c>
      <c r="J348">
        <v>19</v>
      </c>
      <c r="K348" t="s">
        <v>776</v>
      </c>
      <c r="L348" t="s">
        <v>54</v>
      </c>
      <c r="M348">
        <v>4</v>
      </c>
      <c r="N348" t="s">
        <v>1063</v>
      </c>
      <c r="O348" t="s">
        <v>1074</v>
      </c>
    </row>
    <row r="349" spans="1:15" x14ac:dyDescent="0.25">
      <c r="A349" t="s">
        <v>777</v>
      </c>
      <c r="B349" t="s">
        <v>43</v>
      </c>
      <c r="C349" t="s">
        <v>7</v>
      </c>
      <c r="D349" t="s">
        <v>8</v>
      </c>
      <c r="E349">
        <v>48</v>
      </c>
      <c r="F349" t="s">
        <v>1066</v>
      </c>
      <c r="G349" t="s">
        <v>105</v>
      </c>
      <c r="H349">
        <v>129536</v>
      </c>
      <c r="I349" s="6">
        <v>39376</v>
      </c>
      <c r="J349">
        <v>18</v>
      </c>
      <c r="K349" t="s">
        <v>778</v>
      </c>
      <c r="L349" t="s">
        <v>49</v>
      </c>
      <c r="M349">
        <v>1</v>
      </c>
      <c r="N349" t="s">
        <v>1063</v>
      </c>
      <c r="O349" t="s">
        <v>1074</v>
      </c>
    </row>
    <row r="350" spans="1:15" x14ac:dyDescent="0.25">
      <c r="A350" t="s">
        <v>779</v>
      </c>
      <c r="B350" t="s">
        <v>633</v>
      </c>
      <c r="C350" t="s">
        <v>153</v>
      </c>
      <c r="D350" t="s">
        <v>23</v>
      </c>
      <c r="E350">
        <v>30</v>
      </c>
      <c r="F350" t="s">
        <v>181</v>
      </c>
      <c r="G350" t="s">
        <v>44</v>
      </c>
      <c r="H350">
        <v>58564.75</v>
      </c>
      <c r="I350" s="6"/>
      <c r="K350" t="s">
        <v>780</v>
      </c>
      <c r="L350" t="s">
        <v>120</v>
      </c>
      <c r="M350">
        <v>3</v>
      </c>
      <c r="N350" t="s">
        <v>1075</v>
      </c>
      <c r="O350" t="s">
        <v>1077</v>
      </c>
    </row>
    <row r="351" spans="1:15" x14ac:dyDescent="0.25">
      <c r="A351" t="s">
        <v>781</v>
      </c>
      <c r="B351" t="s">
        <v>624</v>
      </c>
      <c r="C351" t="s">
        <v>291</v>
      </c>
      <c r="D351" t="s">
        <v>23</v>
      </c>
      <c r="E351">
        <v>44</v>
      </c>
      <c r="F351" t="s">
        <v>9</v>
      </c>
      <c r="G351" t="s">
        <v>44</v>
      </c>
      <c r="H351">
        <v>87174</v>
      </c>
      <c r="I351" s="6">
        <v>39373</v>
      </c>
      <c r="J351">
        <v>18</v>
      </c>
      <c r="K351" t="s">
        <v>759</v>
      </c>
      <c r="L351" t="s">
        <v>4</v>
      </c>
      <c r="M351">
        <v>3</v>
      </c>
      <c r="N351" t="s">
        <v>1062</v>
      </c>
      <c r="O351" t="s">
        <v>1077</v>
      </c>
    </row>
    <row r="352" spans="1:15" x14ac:dyDescent="0.25">
      <c r="A352" t="s">
        <v>782</v>
      </c>
      <c r="B352" t="s">
        <v>232</v>
      </c>
      <c r="C352" t="s">
        <v>22</v>
      </c>
      <c r="D352" t="s">
        <v>23</v>
      </c>
      <c r="E352">
        <v>42</v>
      </c>
      <c r="F352" t="s">
        <v>295</v>
      </c>
      <c r="G352" t="s">
        <v>44</v>
      </c>
      <c r="H352">
        <v>65732</v>
      </c>
      <c r="I352" s="6">
        <v>44383</v>
      </c>
      <c r="J352">
        <v>5</v>
      </c>
      <c r="K352" t="s">
        <v>783</v>
      </c>
      <c r="L352" t="s">
        <v>107</v>
      </c>
      <c r="M352">
        <v>4</v>
      </c>
      <c r="N352" t="s">
        <v>1062</v>
      </c>
      <c r="O352" t="s">
        <v>1077</v>
      </c>
    </row>
    <row r="353" spans="1:15" x14ac:dyDescent="0.25">
      <c r="A353" t="s">
        <v>784</v>
      </c>
      <c r="B353" t="s">
        <v>530</v>
      </c>
      <c r="C353" t="s">
        <v>16</v>
      </c>
      <c r="D353" t="s">
        <v>1</v>
      </c>
      <c r="E353">
        <v>37</v>
      </c>
      <c r="F353" t="s">
        <v>1066</v>
      </c>
      <c r="G353" t="s">
        <v>17</v>
      </c>
      <c r="H353">
        <v>57039</v>
      </c>
      <c r="I353" s="6"/>
      <c r="K353" t="s">
        <v>785</v>
      </c>
      <c r="L353" t="s">
        <v>54</v>
      </c>
      <c r="M353">
        <v>4</v>
      </c>
      <c r="N353" t="s">
        <v>1061</v>
      </c>
      <c r="O353" t="s">
        <v>1077</v>
      </c>
    </row>
    <row r="354" spans="1:15" x14ac:dyDescent="0.25">
      <c r="A354" t="s">
        <v>786</v>
      </c>
      <c r="B354" t="s">
        <v>334</v>
      </c>
      <c r="C354" t="s">
        <v>169</v>
      </c>
      <c r="D354" t="s">
        <v>8</v>
      </c>
      <c r="E354">
        <v>42</v>
      </c>
      <c r="F354" t="s">
        <v>133</v>
      </c>
      <c r="G354" t="s">
        <v>44</v>
      </c>
      <c r="H354">
        <v>65976</v>
      </c>
      <c r="I354" s="6">
        <v>38779</v>
      </c>
      <c r="J354">
        <v>20</v>
      </c>
      <c r="K354" t="s">
        <v>787</v>
      </c>
      <c r="L354" t="s">
        <v>54</v>
      </c>
      <c r="M354">
        <v>5</v>
      </c>
      <c r="N354" t="s">
        <v>1062</v>
      </c>
      <c r="O354" t="s">
        <v>1077</v>
      </c>
    </row>
    <row r="355" spans="1:15" x14ac:dyDescent="0.25">
      <c r="A355" t="s">
        <v>788</v>
      </c>
      <c r="B355" t="s">
        <v>232</v>
      </c>
      <c r="C355" t="s">
        <v>35</v>
      </c>
      <c r="D355" t="s">
        <v>23</v>
      </c>
      <c r="E355">
        <v>33</v>
      </c>
      <c r="F355" t="s">
        <v>9</v>
      </c>
      <c r="G355" t="s">
        <v>17</v>
      </c>
      <c r="H355">
        <v>87815.32</v>
      </c>
      <c r="I355" s="6">
        <v>41976</v>
      </c>
      <c r="J355">
        <v>11</v>
      </c>
      <c r="K355" t="s">
        <v>789</v>
      </c>
      <c r="L355" t="s">
        <v>54</v>
      </c>
      <c r="M355">
        <v>3</v>
      </c>
      <c r="N355" t="s">
        <v>1060</v>
      </c>
      <c r="O355" t="s">
        <v>1077</v>
      </c>
    </row>
    <row r="356" spans="1:15" x14ac:dyDescent="0.25">
      <c r="A356" t="s">
        <v>790</v>
      </c>
      <c r="B356" t="s">
        <v>378</v>
      </c>
      <c r="C356" t="s">
        <v>59</v>
      </c>
      <c r="D356" t="s">
        <v>23</v>
      </c>
      <c r="E356">
        <v>46</v>
      </c>
      <c r="F356" t="s">
        <v>142</v>
      </c>
      <c r="G356" t="s">
        <v>100</v>
      </c>
      <c r="H356">
        <v>55997</v>
      </c>
      <c r="I356" s="6">
        <v>44034</v>
      </c>
      <c r="J356">
        <v>6</v>
      </c>
      <c r="K356" t="s">
        <v>791</v>
      </c>
      <c r="L356" t="s">
        <v>65</v>
      </c>
      <c r="M356">
        <v>4</v>
      </c>
      <c r="N356" t="s">
        <v>1063</v>
      </c>
      <c r="O356" t="s">
        <v>1077</v>
      </c>
    </row>
    <row r="357" spans="1:15" x14ac:dyDescent="0.25">
      <c r="A357" t="s">
        <v>792</v>
      </c>
      <c r="B357" t="s">
        <v>451</v>
      </c>
      <c r="C357" t="s">
        <v>215</v>
      </c>
      <c r="D357" t="s">
        <v>8</v>
      </c>
      <c r="E357">
        <v>50</v>
      </c>
      <c r="F357" t="s">
        <v>9</v>
      </c>
      <c r="G357" t="s">
        <v>2</v>
      </c>
      <c r="H357">
        <v>119403</v>
      </c>
      <c r="I357" s="6">
        <v>39940</v>
      </c>
      <c r="J357">
        <v>17</v>
      </c>
      <c r="K357" t="s">
        <v>793</v>
      </c>
      <c r="L357" t="s">
        <v>65</v>
      </c>
      <c r="M357">
        <v>3</v>
      </c>
      <c r="N357" t="s">
        <v>1063</v>
      </c>
      <c r="O357" t="s">
        <v>1074</v>
      </c>
    </row>
    <row r="358" spans="1:15" x14ac:dyDescent="0.25">
      <c r="A358" t="s">
        <v>794</v>
      </c>
      <c r="B358" t="s">
        <v>229</v>
      </c>
      <c r="C358" t="s">
        <v>356</v>
      </c>
      <c r="D358" t="s">
        <v>1</v>
      </c>
      <c r="E358">
        <v>35</v>
      </c>
      <c r="F358" t="s">
        <v>32</v>
      </c>
      <c r="G358" t="s">
        <v>2</v>
      </c>
      <c r="H358">
        <v>113616</v>
      </c>
      <c r="I358" s="6">
        <v>43632</v>
      </c>
      <c r="J358">
        <v>7</v>
      </c>
      <c r="K358" t="s">
        <v>795</v>
      </c>
      <c r="L358" t="s">
        <v>25</v>
      </c>
      <c r="M358">
        <v>3</v>
      </c>
      <c r="N358" t="s">
        <v>1060</v>
      </c>
      <c r="O358" t="s">
        <v>1074</v>
      </c>
    </row>
    <row r="359" spans="1:15" x14ac:dyDescent="0.25">
      <c r="A359" t="s">
        <v>796</v>
      </c>
      <c r="B359" t="s">
        <v>73</v>
      </c>
      <c r="C359" t="s">
        <v>141</v>
      </c>
      <c r="D359" t="s">
        <v>23</v>
      </c>
      <c r="E359">
        <v>48</v>
      </c>
      <c r="F359" t="s">
        <v>133</v>
      </c>
      <c r="G359" t="s">
        <v>17</v>
      </c>
      <c r="H359">
        <v>56054</v>
      </c>
      <c r="I359" s="6"/>
      <c r="K359" t="s">
        <v>797</v>
      </c>
      <c r="L359" t="s">
        <v>4</v>
      </c>
      <c r="M359">
        <v>4</v>
      </c>
      <c r="N359" t="s">
        <v>1063</v>
      </c>
      <c r="O359" t="s">
        <v>1077</v>
      </c>
    </row>
    <row r="360" spans="1:15" x14ac:dyDescent="0.25">
      <c r="A360" t="s">
        <v>798</v>
      </c>
      <c r="B360" t="s">
        <v>30</v>
      </c>
      <c r="C360" t="s">
        <v>799</v>
      </c>
      <c r="D360" t="s">
        <v>8</v>
      </c>
      <c r="E360">
        <v>52</v>
      </c>
      <c r="F360" t="s">
        <v>142</v>
      </c>
      <c r="G360" t="s">
        <v>44</v>
      </c>
      <c r="H360">
        <v>57411</v>
      </c>
      <c r="I360" s="6">
        <v>40768</v>
      </c>
      <c r="J360">
        <v>15</v>
      </c>
      <c r="K360" t="s">
        <v>800</v>
      </c>
      <c r="L360" t="s">
        <v>85</v>
      </c>
      <c r="M360">
        <v>3</v>
      </c>
      <c r="N360" t="s">
        <v>1064</v>
      </c>
      <c r="O360" t="s">
        <v>1077</v>
      </c>
    </row>
    <row r="361" spans="1:15" x14ac:dyDescent="0.25">
      <c r="A361" t="s">
        <v>801</v>
      </c>
      <c r="B361" t="s">
        <v>469</v>
      </c>
      <c r="C361" t="s">
        <v>215</v>
      </c>
      <c r="D361" t="s">
        <v>23</v>
      </c>
      <c r="E361">
        <v>36</v>
      </c>
      <c r="F361" t="s">
        <v>32</v>
      </c>
      <c r="G361" t="s">
        <v>100</v>
      </c>
      <c r="H361">
        <v>66115</v>
      </c>
      <c r="I361" s="6">
        <v>40557</v>
      </c>
      <c r="J361">
        <v>15</v>
      </c>
      <c r="K361" t="s">
        <v>159</v>
      </c>
      <c r="L361" t="s">
        <v>49</v>
      </c>
      <c r="M361">
        <v>4</v>
      </c>
      <c r="N361" t="s">
        <v>1061</v>
      </c>
      <c r="O361" t="s">
        <v>1077</v>
      </c>
    </row>
    <row r="362" spans="1:15" x14ac:dyDescent="0.25">
      <c r="A362" t="s">
        <v>802</v>
      </c>
      <c r="B362" t="s">
        <v>103</v>
      </c>
      <c r="C362" t="s">
        <v>59</v>
      </c>
      <c r="D362" t="s">
        <v>1</v>
      </c>
      <c r="E362">
        <v>63</v>
      </c>
      <c r="F362" t="s">
        <v>36</v>
      </c>
      <c r="G362" t="s">
        <v>63</v>
      </c>
      <c r="H362">
        <v>99305</v>
      </c>
      <c r="I362" s="6">
        <v>38572</v>
      </c>
      <c r="J362">
        <v>21</v>
      </c>
      <c r="K362" t="s">
        <v>803</v>
      </c>
      <c r="L362" t="s">
        <v>85</v>
      </c>
      <c r="M362">
        <v>4</v>
      </c>
      <c r="N362" t="s">
        <v>1080</v>
      </c>
      <c r="O362" t="s">
        <v>1077</v>
      </c>
    </row>
    <row r="363" spans="1:15" x14ac:dyDescent="0.25">
      <c r="A363" t="s">
        <v>804</v>
      </c>
      <c r="B363" t="s">
        <v>633</v>
      </c>
      <c r="C363" t="s">
        <v>169</v>
      </c>
      <c r="D363" t="s">
        <v>1</v>
      </c>
      <c r="E363">
        <v>29</v>
      </c>
      <c r="F363" t="s">
        <v>32</v>
      </c>
      <c r="G363" t="s">
        <v>37</v>
      </c>
      <c r="H363">
        <v>93717</v>
      </c>
      <c r="I363" s="6">
        <v>43776</v>
      </c>
      <c r="J363">
        <v>6</v>
      </c>
      <c r="K363" t="s">
        <v>805</v>
      </c>
      <c r="L363" t="s">
        <v>207</v>
      </c>
      <c r="M363">
        <v>1</v>
      </c>
      <c r="N363" t="s">
        <v>1075</v>
      </c>
      <c r="O363" t="s">
        <v>1077</v>
      </c>
    </row>
    <row r="364" spans="1:15" x14ac:dyDescent="0.25">
      <c r="A364" t="s">
        <v>806</v>
      </c>
      <c r="B364" t="s">
        <v>115</v>
      </c>
      <c r="C364" t="s">
        <v>138</v>
      </c>
      <c r="D364" t="s">
        <v>1</v>
      </c>
      <c r="E364">
        <v>31</v>
      </c>
      <c r="F364" t="s">
        <v>36</v>
      </c>
      <c r="G364" t="s">
        <v>17</v>
      </c>
      <c r="H364">
        <v>83848</v>
      </c>
      <c r="I364" s="6">
        <v>43444</v>
      </c>
      <c r="J364">
        <v>7</v>
      </c>
      <c r="K364" t="s">
        <v>807</v>
      </c>
      <c r="L364" t="s">
        <v>11</v>
      </c>
      <c r="M364">
        <v>5</v>
      </c>
      <c r="N364" t="s">
        <v>1060</v>
      </c>
      <c r="O364" t="s">
        <v>1077</v>
      </c>
    </row>
    <row r="365" spans="1:15" x14ac:dyDescent="0.25">
      <c r="A365" t="s">
        <v>808</v>
      </c>
      <c r="B365" t="s">
        <v>16</v>
      </c>
      <c r="C365" t="s">
        <v>80</v>
      </c>
      <c r="D365" t="s">
        <v>8</v>
      </c>
      <c r="E365">
        <v>43</v>
      </c>
      <c r="F365" t="s">
        <v>36</v>
      </c>
      <c r="G365" t="s">
        <v>17</v>
      </c>
      <c r="H365">
        <v>97337</v>
      </c>
      <c r="I365" s="6">
        <v>42899</v>
      </c>
      <c r="J365">
        <v>9</v>
      </c>
      <c r="K365" t="s">
        <v>750</v>
      </c>
      <c r="L365" t="s">
        <v>19</v>
      </c>
      <c r="M365">
        <v>4</v>
      </c>
      <c r="N365" t="s">
        <v>1062</v>
      </c>
      <c r="O365" t="s">
        <v>1077</v>
      </c>
    </row>
    <row r="366" spans="1:15" x14ac:dyDescent="0.25">
      <c r="A366" t="s">
        <v>809</v>
      </c>
      <c r="B366" t="s">
        <v>16</v>
      </c>
      <c r="C366" t="s">
        <v>16</v>
      </c>
      <c r="D366" t="s">
        <v>23</v>
      </c>
      <c r="E366">
        <v>57</v>
      </c>
      <c r="F366" t="s">
        <v>133</v>
      </c>
      <c r="G366" t="s">
        <v>100</v>
      </c>
      <c r="H366">
        <v>52668</v>
      </c>
      <c r="I366" s="6">
        <v>39084</v>
      </c>
      <c r="J366">
        <v>19</v>
      </c>
      <c r="K366" t="s">
        <v>18</v>
      </c>
      <c r="L366" t="s">
        <v>120</v>
      </c>
      <c r="M366">
        <v>4</v>
      </c>
      <c r="N366" t="s">
        <v>1065</v>
      </c>
      <c r="O366" t="s">
        <v>1077</v>
      </c>
    </row>
    <row r="367" spans="1:15" x14ac:dyDescent="0.25">
      <c r="A367" t="s">
        <v>810</v>
      </c>
      <c r="B367" t="s">
        <v>229</v>
      </c>
      <c r="C367" t="s">
        <v>222</v>
      </c>
      <c r="D367" t="s">
        <v>1</v>
      </c>
      <c r="E367">
        <v>41</v>
      </c>
      <c r="F367" t="s">
        <v>154</v>
      </c>
      <c r="G367" t="s">
        <v>100</v>
      </c>
      <c r="H367">
        <v>43157</v>
      </c>
      <c r="I367" s="6">
        <v>43762</v>
      </c>
      <c r="J367">
        <v>6</v>
      </c>
      <c r="K367" t="s">
        <v>811</v>
      </c>
      <c r="L367" t="s">
        <v>54</v>
      </c>
      <c r="M367">
        <v>4</v>
      </c>
      <c r="N367" t="s">
        <v>1062</v>
      </c>
      <c r="O367" t="s">
        <v>1076</v>
      </c>
    </row>
    <row r="368" spans="1:15" x14ac:dyDescent="0.25">
      <c r="A368" t="s">
        <v>812</v>
      </c>
      <c r="B368" t="s">
        <v>378</v>
      </c>
      <c r="C368" t="s">
        <v>799</v>
      </c>
      <c r="D368" t="s">
        <v>8</v>
      </c>
      <c r="E368">
        <v>44</v>
      </c>
      <c r="F368" t="s">
        <v>142</v>
      </c>
      <c r="G368" t="s">
        <v>17</v>
      </c>
      <c r="H368">
        <v>52778</v>
      </c>
      <c r="I368" s="6">
        <v>43173</v>
      </c>
      <c r="J368">
        <v>8</v>
      </c>
      <c r="K368" t="s">
        <v>813</v>
      </c>
      <c r="L368" t="s">
        <v>19</v>
      </c>
      <c r="M368">
        <v>1</v>
      </c>
      <c r="N368" t="s">
        <v>1062</v>
      </c>
      <c r="O368" t="s">
        <v>1077</v>
      </c>
    </row>
    <row r="369" spans="1:15" x14ac:dyDescent="0.25">
      <c r="A369" t="s">
        <v>814</v>
      </c>
      <c r="B369" t="s">
        <v>401</v>
      </c>
      <c r="C369" t="s">
        <v>35</v>
      </c>
      <c r="D369" t="s">
        <v>1</v>
      </c>
      <c r="E369">
        <v>44</v>
      </c>
      <c r="F369" t="s">
        <v>9</v>
      </c>
      <c r="G369" t="s">
        <v>17</v>
      </c>
      <c r="H369">
        <v>81723</v>
      </c>
      <c r="I369" s="6">
        <v>40017</v>
      </c>
      <c r="J369">
        <v>17</v>
      </c>
      <c r="K369" t="s">
        <v>815</v>
      </c>
      <c r="L369" t="s">
        <v>65</v>
      </c>
      <c r="M369">
        <v>3</v>
      </c>
      <c r="N369" t="s">
        <v>1062</v>
      </c>
      <c r="O369" t="s">
        <v>1077</v>
      </c>
    </row>
    <row r="370" spans="1:15" x14ac:dyDescent="0.25">
      <c r="A370" t="s">
        <v>816</v>
      </c>
      <c r="B370" t="s">
        <v>99</v>
      </c>
      <c r="C370" t="s">
        <v>88</v>
      </c>
      <c r="D370" t="s">
        <v>1</v>
      </c>
      <c r="E370">
        <v>46</v>
      </c>
      <c r="F370" t="s">
        <v>203</v>
      </c>
      <c r="G370" t="s">
        <v>2</v>
      </c>
      <c r="H370">
        <v>77829.62</v>
      </c>
      <c r="I370" s="6">
        <v>39726</v>
      </c>
      <c r="J370">
        <v>18</v>
      </c>
      <c r="K370" t="s">
        <v>817</v>
      </c>
      <c r="L370" t="s">
        <v>39</v>
      </c>
      <c r="M370">
        <v>4</v>
      </c>
      <c r="N370" t="s">
        <v>1063</v>
      </c>
      <c r="O370" t="s">
        <v>1077</v>
      </c>
    </row>
    <row r="371" spans="1:15" x14ac:dyDescent="0.25">
      <c r="A371" t="s">
        <v>818</v>
      </c>
      <c r="B371" t="s">
        <v>469</v>
      </c>
      <c r="C371" t="s">
        <v>394</v>
      </c>
      <c r="D371" t="s">
        <v>23</v>
      </c>
      <c r="E371">
        <v>34</v>
      </c>
      <c r="F371" t="s">
        <v>9</v>
      </c>
      <c r="G371" t="s">
        <v>100</v>
      </c>
      <c r="H371">
        <v>67784</v>
      </c>
      <c r="I371" s="6">
        <v>42475</v>
      </c>
      <c r="J371">
        <v>10</v>
      </c>
      <c r="K371" t="s">
        <v>819</v>
      </c>
      <c r="L371" t="s">
        <v>85</v>
      </c>
      <c r="M371">
        <v>3</v>
      </c>
      <c r="N371" t="s">
        <v>1060</v>
      </c>
      <c r="O371" t="s">
        <v>1077</v>
      </c>
    </row>
    <row r="372" spans="1:15" x14ac:dyDescent="0.25">
      <c r="A372" t="s">
        <v>820</v>
      </c>
      <c r="B372" t="s">
        <v>79</v>
      </c>
      <c r="C372" t="s">
        <v>166</v>
      </c>
      <c r="D372" t="s">
        <v>1</v>
      </c>
      <c r="E372">
        <v>48</v>
      </c>
      <c r="F372" t="s">
        <v>203</v>
      </c>
      <c r="G372" t="s">
        <v>63</v>
      </c>
      <c r="H372">
        <v>60800</v>
      </c>
      <c r="I372" s="6">
        <v>42024</v>
      </c>
      <c r="J372">
        <v>11</v>
      </c>
      <c r="K372" t="s">
        <v>821</v>
      </c>
      <c r="L372" t="s">
        <v>107</v>
      </c>
      <c r="M372">
        <v>4</v>
      </c>
      <c r="N372" t="s">
        <v>1063</v>
      </c>
      <c r="O372" t="s">
        <v>1077</v>
      </c>
    </row>
    <row r="373" spans="1:15" x14ac:dyDescent="0.25">
      <c r="A373" t="s">
        <v>822</v>
      </c>
      <c r="B373" t="s">
        <v>184</v>
      </c>
      <c r="C373" t="s">
        <v>269</v>
      </c>
      <c r="D373" t="s">
        <v>1</v>
      </c>
      <c r="E373">
        <v>37</v>
      </c>
      <c r="F373" t="s">
        <v>36</v>
      </c>
      <c r="G373" t="s">
        <v>17</v>
      </c>
      <c r="H373">
        <v>88286</v>
      </c>
      <c r="I373" s="6">
        <v>42566</v>
      </c>
      <c r="J373">
        <v>10</v>
      </c>
      <c r="K373" t="s">
        <v>823</v>
      </c>
      <c r="L373" t="s">
        <v>65</v>
      </c>
      <c r="M373">
        <v>5</v>
      </c>
      <c r="N373" t="s">
        <v>1061</v>
      </c>
      <c r="O373" t="s">
        <v>1077</v>
      </c>
    </row>
    <row r="374" spans="1:15" x14ac:dyDescent="0.25">
      <c r="A374" t="s">
        <v>824</v>
      </c>
      <c r="B374" t="s">
        <v>73</v>
      </c>
      <c r="C374" t="s">
        <v>80</v>
      </c>
      <c r="D374" t="s">
        <v>8</v>
      </c>
      <c r="E374">
        <v>37</v>
      </c>
      <c r="F374" t="s">
        <v>295</v>
      </c>
      <c r="G374" t="s">
        <v>161</v>
      </c>
      <c r="H374">
        <v>124878.42</v>
      </c>
      <c r="I374" s="6">
        <v>42129</v>
      </c>
      <c r="J374">
        <v>11</v>
      </c>
      <c r="K374" t="s">
        <v>825</v>
      </c>
      <c r="L374" t="s">
        <v>4</v>
      </c>
      <c r="M374">
        <v>4</v>
      </c>
      <c r="N374" t="s">
        <v>1061</v>
      </c>
      <c r="O374" t="s">
        <v>1074</v>
      </c>
    </row>
    <row r="375" spans="1:15" x14ac:dyDescent="0.25">
      <c r="A375" t="s">
        <v>826</v>
      </c>
      <c r="B375" t="s">
        <v>232</v>
      </c>
      <c r="C375" t="s">
        <v>124</v>
      </c>
      <c r="D375" t="s">
        <v>8</v>
      </c>
      <c r="E375">
        <v>41</v>
      </c>
      <c r="F375" t="s">
        <v>1066</v>
      </c>
      <c r="G375" t="s">
        <v>100</v>
      </c>
      <c r="H375">
        <v>62827.05</v>
      </c>
      <c r="I375" s="6">
        <v>44925</v>
      </c>
      <c r="J375">
        <v>3</v>
      </c>
      <c r="K375" t="s">
        <v>827</v>
      </c>
      <c r="L375" t="s">
        <v>107</v>
      </c>
      <c r="M375">
        <v>3</v>
      </c>
      <c r="N375" t="s">
        <v>1062</v>
      </c>
      <c r="O375" t="s">
        <v>1077</v>
      </c>
    </row>
    <row r="376" spans="1:15" x14ac:dyDescent="0.25">
      <c r="A376" t="s">
        <v>828</v>
      </c>
      <c r="B376" t="s">
        <v>229</v>
      </c>
      <c r="C376" t="s">
        <v>166</v>
      </c>
      <c r="D376" t="s">
        <v>1</v>
      </c>
      <c r="E376">
        <v>31</v>
      </c>
      <c r="F376" t="s">
        <v>154</v>
      </c>
      <c r="G376" t="s">
        <v>44</v>
      </c>
      <c r="H376">
        <v>38907</v>
      </c>
      <c r="I376" s="6">
        <v>44316</v>
      </c>
      <c r="J376">
        <v>5</v>
      </c>
      <c r="K376" t="s">
        <v>829</v>
      </c>
      <c r="L376" t="s">
        <v>207</v>
      </c>
      <c r="M376">
        <v>4</v>
      </c>
      <c r="N376" t="s">
        <v>1060</v>
      </c>
      <c r="O376" t="s">
        <v>1076</v>
      </c>
    </row>
    <row r="377" spans="1:15" x14ac:dyDescent="0.25">
      <c r="A377" t="s">
        <v>830</v>
      </c>
      <c r="B377" t="s">
        <v>127</v>
      </c>
      <c r="C377" t="s">
        <v>962</v>
      </c>
      <c r="D377" t="s">
        <v>1</v>
      </c>
      <c r="E377">
        <v>37</v>
      </c>
      <c r="F377" t="s">
        <v>181</v>
      </c>
      <c r="G377" t="s">
        <v>2</v>
      </c>
      <c r="H377">
        <v>76684</v>
      </c>
      <c r="I377" s="6">
        <v>42247</v>
      </c>
      <c r="J377">
        <v>11</v>
      </c>
      <c r="K377" t="s">
        <v>831</v>
      </c>
      <c r="L377" t="s">
        <v>54</v>
      </c>
      <c r="M377">
        <v>4</v>
      </c>
      <c r="N377" t="s">
        <v>1061</v>
      </c>
      <c r="O377" t="s">
        <v>1077</v>
      </c>
    </row>
    <row r="378" spans="1:15" x14ac:dyDescent="0.25">
      <c r="A378" t="s">
        <v>832</v>
      </c>
      <c r="B378" t="s">
        <v>132</v>
      </c>
      <c r="C378" t="s">
        <v>375</v>
      </c>
      <c r="D378" t="s">
        <v>23</v>
      </c>
      <c r="E378">
        <v>34</v>
      </c>
      <c r="F378" t="s">
        <v>313</v>
      </c>
      <c r="G378" t="s">
        <v>44</v>
      </c>
      <c r="H378">
        <v>89518.28</v>
      </c>
      <c r="I378" s="6">
        <v>45590</v>
      </c>
      <c r="J378">
        <v>1</v>
      </c>
      <c r="K378" t="s">
        <v>467</v>
      </c>
      <c r="L378" t="s">
        <v>65</v>
      </c>
      <c r="M378">
        <v>1</v>
      </c>
      <c r="N378" t="s">
        <v>1060</v>
      </c>
      <c r="O378" t="s">
        <v>1077</v>
      </c>
    </row>
    <row r="379" spans="1:15" x14ac:dyDescent="0.25">
      <c r="A379" t="s">
        <v>833</v>
      </c>
      <c r="B379" t="s">
        <v>127</v>
      </c>
      <c r="C379" t="s">
        <v>169</v>
      </c>
      <c r="D379" t="s">
        <v>23</v>
      </c>
      <c r="E379">
        <v>41</v>
      </c>
      <c r="F379" t="s">
        <v>9</v>
      </c>
      <c r="G379" t="s">
        <v>63</v>
      </c>
      <c r="H379">
        <v>95369</v>
      </c>
      <c r="I379" s="6">
        <v>41614</v>
      </c>
      <c r="J379">
        <v>12</v>
      </c>
      <c r="K379" t="s">
        <v>407</v>
      </c>
      <c r="L379" t="s">
        <v>11</v>
      </c>
      <c r="M379">
        <v>4</v>
      </c>
      <c r="N379" t="s">
        <v>1062</v>
      </c>
      <c r="O379" t="s">
        <v>1077</v>
      </c>
    </row>
    <row r="380" spans="1:15" x14ac:dyDescent="0.25">
      <c r="A380" t="s">
        <v>834</v>
      </c>
      <c r="B380" t="s">
        <v>401</v>
      </c>
      <c r="C380" t="s">
        <v>169</v>
      </c>
      <c r="D380" t="s">
        <v>23</v>
      </c>
      <c r="E380">
        <v>39</v>
      </c>
      <c r="F380" t="s">
        <v>142</v>
      </c>
      <c r="G380" t="s">
        <v>17</v>
      </c>
      <c r="H380">
        <v>56972</v>
      </c>
      <c r="I380" s="6">
        <v>41330</v>
      </c>
      <c r="J380">
        <v>13</v>
      </c>
      <c r="K380" t="s">
        <v>835</v>
      </c>
      <c r="L380" t="s">
        <v>54</v>
      </c>
      <c r="M380">
        <v>4</v>
      </c>
      <c r="N380" t="s">
        <v>1061</v>
      </c>
      <c r="O380" t="s">
        <v>1077</v>
      </c>
    </row>
    <row r="381" spans="1:15" x14ac:dyDescent="0.25">
      <c r="A381" t="s">
        <v>836</v>
      </c>
      <c r="B381" t="s">
        <v>378</v>
      </c>
      <c r="C381" t="s">
        <v>83</v>
      </c>
      <c r="D381" t="s">
        <v>8</v>
      </c>
      <c r="E381">
        <v>40</v>
      </c>
      <c r="F381" t="s">
        <v>36</v>
      </c>
      <c r="G381" t="s">
        <v>100</v>
      </c>
      <c r="H381">
        <v>70849.05</v>
      </c>
      <c r="I381" s="6">
        <v>41504</v>
      </c>
      <c r="J381">
        <v>13</v>
      </c>
      <c r="K381" t="s">
        <v>837</v>
      </c>
      <c r="L381" t="s">
        <v>54</v>
      </c>
      <c r="M381">
        <v>3</v>
      </c>
      <c r="N381" t="s">
        <v>1061</v>
      </c>
      <c r="O381" t="s">
        <v>1077</v>
      </c>
    </row>
    <row r="382" spans="1:15" x14ac:dyDescent="0.25">
      <c r="A382" t="s">
        <v>838</v>
      </c>
      <c r="B382" t="s">
        <v>714</v>
      </c>
      <c r="C382" t="s">
        <v>269</v>
      </c>
      <c r="D382" t="s">
        <v>23</v>
      </c>
      <c r="E382">
        <v>44</v>
      </c>
      <c r="F382" t="s">
        <v>36</v>
      </c>
      <c r="G382" t="s">
        <v>37</v>
      </c>
      <c r="H382">
        <v>101839</v>
      </c>
      <c r="I382" s="6">
        <v>41684</v>
      </c>
      <c r="J382">
        <v>12</v>
      </c>
      <c r="K382" t="s">
        <v>839</v>
      </c>
      <c r="L382" t="s">
        <v>25</v>
      </c>
      <c r="M382">
        <v>2</v>
      </c>
      <c r="N382" t="s">
        <v>1062</v>
      </c>
      <c r="O382" t="s">
        <v>1074</v>
      </c>
    </row>
    <row r="383" spans="1:15" x14ac:dyDescent="0.25">
      <c r="A383" t="s">
        <v>840</v>
      </c>
      <c r="B383" t="s">
        <v>132</v>
      </c>
      <c r="C383" t="s">
        <v>68</v>
      </c>
      <c r="D383" t="s">
        <v>1</v>
      </c>
      <c r="E383">
        <v>44</v>
      </c>
      <c r="F383" t="s">
        <v>295</v>
      </c>
      <c r="G383" t="s">
        <v>105</v>
      </c>
      <c r="H383">
        <v>109605</v>
      </c>
      <c r="I383" s="6">
        <v>45634</v>
      </c>
      <c r="J383">
        <v>1</v>
      </c>
      <c r="K383" t="s">
        <v>204</v>
      </c>
      <c r="L383" t="s">
        <v>39</v>
      </c>
      <c r="M383">
        <v>2</v>
      </c>
      <c r="N383" t="s">
        <v>1062</v>
      </c>
      <c r="O383" t="s">
        <v>1074</v>
      </c>
    </row>
    <row r="384" spans="1:15" x14ac:dyDescent="0.25">
      <c r="A384" t="s">
        <v>841</v>
      </c>
      <c r="B384" t="s">
        <v>355</v>
      </c>
      <c r="C384" t="s">
        <v>59</v>
      </c>
      <c r="D384" t="s">
        <v>1</v>
      </c>
      <c r="E384">
        <v>41</v>
      </c>
      <c r="F384" t="s">
        <v>181</v>
      </c>
      <c r="G384" t="s">
        <v>37</v>
      </c>
      <c r="H384">
        <v>61657</v>
      </c>
      <c r="I384" s="6">
        <v>41738</v>
      </c>
      <c r="J384">
        <v>12</v>
      </c>
      <c r="K384" t="s">
        <v>842</v>
      </c>
      <c r="L384" t="s">
        <v>14</v>
      </c>
      <c r="M384">
        <v>4</v>
      </c>
      <c r="N384" t="s">
        <v>1062</v>
      </c>
      <c r="O384" t="s">
        <v>1077</v>
      </c>
    </row>
    <row r="385" spans="1:15" x14ac:dyDescent="0.25">
      <c r="A385" t="s">
        <v>843</v>
      </c>
      <c r="B385" t="s">
        <v>232</v>
      </c>
      <c r="C385" t="s">
        <v>962</v>
      </c>
      <c r="D385" t="s">
        <v>8</v>
      </c>
      <c r="E385">
        <v>49</v>
      </c>
      <c r="F385" t="s">
        <v>203</v>
      </c>
      <c r="G385" t="s">
        <v>44</v>
      </c>
      <c r="H385">
        <v>51595</v>
      </c>
      <c r="I385" s="6"/>
      <c r="K385" t="s">
        <v>432</v>
      </c>
      <c r="L385" t="s">
        <v>4</v>
      </c>
      <c r="M385">
        <v>4</v>
      </c>
      <c r="N385" t="s">
        <v>1063</v>
      </c>
      <c r="O385" t="s">
        <v>1077</v>
      </c>
    </row>
    <row r="386" spans="1:15" x14ac:dyDescent="0.25">
      <c r="A386" t="s">
        <v>844</v>
      </c>
      <c r="B386" t="s">
        <v>469</v>
      </c>
      <c r="C386" t="s">
        <v>269</v>
      </c>
      <c r="D386" t="s">
        <v>23</v>
      </c>
      <c r="E386">
        <v>35</v>
      </c>
      <c r="F386" t="s">
        <v>9</v>
      </c>
      <c r="G386" t="s">
        <v>216</v>
      </c>
      <c r="H386">
        <v>221241.93</v>
      </c>
      <c r="I386" s="6">
        <v>41813</v>
      </c>
      <c r="J386">
        <v>12</v>
      </c>
      <c r="K386" t="s">
        <v>97</v>
      </c>
      <c r="L386" t="s">
        <v>54</v>
      </c>
      <c r="M386">
        <v>3</v>
      </c>
      <c r="N386" t="s">
        <v>1060</v>
      </c>
      <c r="O386" t="s">
        <v>1079</v>
      </c>
    </row>
    <row r="387" spans="1:15" x14ac:dyDescent="0.25">
      <c r="A387" t="s">
        <v>845</v>
      </c>
      <c r="B387" t="s">
        <v>232</v>
      </c>
      <c r="C387" t="s">
        <v>31</v>
      </c>
      <c r="D387" t="s">
        <v>8</v>
      </c>
      <c r="E387">
        <v>46</v>
      </c>
      <c r="F387" t="s">
        <v>295</v>
      </c>
      <c r="G387" t="s">
        <v>100</v>
      </c>
      <c r="H387">
        <v>143601</v>
      </c>
      <c r="I387" s="6">
        <v>39869</v>
      </c>
      <c r="J387">
        <v>17</v>
      </c>
      <c r="K387" t="s">
        <v>209</v>
      </c>
      <c r="L387" t="s">
        <v>107</v>
      </c>
      <c r="M387">
        <v>5</v>
      </c>
      <c r="N387" t="s">
        <v>1063</v>
      </c>
      <c r="O387" t="s">
        <v>1074</v>
      </c>
    </row>
    <row r="388" spans="1:15" x14ac:dyDescent="0.25">
      <c r="A388" t="s">
        <v>846</v>
      </c>
      <c r="B388" t="s">
        <v>316</v>
      </c>
      <c r="C388" t="s">
        <v>124</v>
      </c>
      <c r="D388" t="s">
        <v>23</v>
      </c>
      <c r="E388">
        <v>49</v>
      </c>
      <c r="F388" t="s">
        <v>181</v>
      </c>
      <c r="G388" t="s">
        <v>105</v>
      </c>
      <c r="H388">
        <v>100593</v>
      </c>
      <c r="I388" s="6">
        <v>38419</v>
      </c>
      <c r="J388">
        <v>21</v>
      </c>
      <c r="K388" t="s">
        <v>847</v>
      </c>
      <c r="L388" t="s">
        <v>4</v>
      </c>
      <c r="M388">
        <v>4</v>
      </c>
      <c r="N388" t="s">
        <v>1063</v>
      </c>
      <c r="O388" t="s">
        <v>1074</v>
      </c>
    </row>
    <row r="389" spans="1:15" x14ac:dyDescent="0.25">
      <c r="A389" t="s">
        <v>848</v>
      </c>
      <c r="B389" t="s">
        <v>514</v>
      </c>
      <c r="C389" t="s">
        <v>351</v>
      </c>
      <c r="D389" t="s">
        <v>23</v>
      </c>
      <c r="E389">
        <v>53</v>
      </c>
      <c r="F389" t="s">
        <v>203</v>
      </c>
      <c r="G389" t="s">
        <v>44</v>
      </c>
      <c r="H389">
        <v>44095</v>
      </c>
      <c r="I389" s="6">
        <v>45654</v>
      </c>
      <c r="J389">
        <v>1</v>
      </c>
      <c r="K389" t="s">
        <v>515</v>
      </c>
      <c r="L389" t="s">
        <v>120</v>
      </c>
      <c r="M389">
        <v>3</v>
      </c>
      <c r="N389" t="s">
        <v>1064</v>
      </c>
      <c r="O389" t="s">
        <v>1076</v>
      </c>
    </row>
    <row r="390" spans="1:15" x14ac:dyDescent="0.25">
      <c r="A390" t="s">
        <v>849</v>
      </c>
      <c r="B390" t="s">
        <v>43</v>
      </c>
      <c r="C390" t="s">
        <v>351</v>
      </c>
      <c r="D390" t="s">
        <v>8</v>
      </c>
      <c r="E390">
        <v>46</v>
      </c>
      <c r="F390" t="s">
        <v>295</v>
      </c>
      <c r="G390" t="s">
        <v>17</v>
      </c>
      <c r="H390">
        <v>67113.69</v>
      </c>
      <c r="I390" s="6">
        <v>39824</v>
      </c>
      <c r="J390">
        <v>17</v>
      </c>
      <c r="K390" t="s">
        <v>122</v>
      </c>
      <c r="L390" t="s">
        <v>49</v>
      </c>
      <c r="M390">
        <v>4</v>
      </c>
      <c r="N390" t="s">
        <v>1063</v>
      </c>
      <c r="O390" t="s">
        <v>1077</v>
      </c>
    </row>
    <row r="391" spans="1:15" x14ac:dyDescent="0.25">
      <c r="A391" t="s">
        <v>850</v>
      </c>
      <c r="B391" t="s">
        <v>16</v>
      </c>
      <c r="C391" t="s">
        <v>80</v>
      </c>
      <c r="D391" t="s">
        <v>23</v>
      </c>
      <c r="E391">
        <v>38</v>
      </c>
      <c r="F391" t="s">
        <v>1066</v>
      </c>
      <c r="G391" t="s">
        <v>37</v>
      </c>
      <c r="H391">
        <v>58991</v>
      </c>
      <c r="I391" s="6">
        <v>42206</v>
      </c>
      <c r="J391">
        <v>11</v>
      </c>
      <c r="K391" t="s">
        <v>750</v>
      </c>
      <c r="L391" t="s">
        <v>107</v>
      </c>
      <c r="M391">
        <v>2</v>
      </c>
      <c r="N391" t="s">
        <v>1061</v>
      </c>
      <c r="O391" t="s">
        <v>1077</v>
      </c>
    </row>
    <row r="392" spans="1:15" x14ac:dyDescent="0.25">
      <c r="A392" t="s">
        <v>851</v>
      </c>
      <c r="B392" t="s">
        <v>514</v>
      </c>
      <c r="C392" t="s">
        <v>68</v>
      </c>
      <c r="D392" t="s">
        <v>1</v>
      </c>
      <c r="E392">
        <v>39</v>
      </c>
      <c r="F392" t="s">
        <v>36</v>
      </c>
      <c r="G392" t="s">
        <v>37</v>
      </c>
      <c r="H392">
        <v>92714</v>
      </c>
      <c r="I392" s="6">
        <v>42956</v>
      </c>
      <c r="J392">
        <v>9</v>
      </c>
      <c r="K392" t="s">
        <v>852</v>
      </c>
      <c r="L392" t="s">
        <v>25</v>
      </c>
      <c r="M392">
        <v>2</v>
      </c>
      <c r="N392" t="s">
        <v>1061</v>
      </c>
      <c r="O392" t="s">
        <v>1077</v>
      </c>
    </row>
    <row r="393" spans="1:15" x14ac:dyDescent="0.25">
      <c r="A393" t="s">
        <v>853</v>
      </c>
      <c r="B393" t="s">
        <v>476</v>
      </c>
      <c r="C393" t="s">
        <v>394</v>
      </c>
      <c r="D393" t="s">
        <v>8</v>
      </c>
      <c r="E393">
        <v>54</v>
      </c>
      <c r="F393" t="s">
        <v>313</v>
      </c>
      <c r="G393" t="s">
        <v>63</v>
      </c>
      <c r="H393">
        <v>98225.23</v>
      </c>
      <c r="I393" s="6">
        <v>39407</v>
      </c>
      <c r="J393">
        <v>18</v>
      </c>
      <c r="K393" t="s">
        <v>854</v>
      </c>
      <c r="L393" t="s">
        <v>11</v>
      </c>
      <c r="M393">
        <v>2</v>
      </c>
      <c r="N393" t="s">
        <v>1064</v>
      </c>
      <c r="O393" t="s">
        <v>1077</v>
      </c>
    </row>
    <row r="394" spans="1:15" x14ac:dyDescent="0.25">
      <c r="A394" t="s">
        <v>855</v>
      </c>
      <c r="B394" t="s">
        <v>73</v>
      </c>
      <c r="C394" t="s">
        <v>118</v>
      </c>
      <c r="D394" t="s">
        <v>8</v>
      </c>
      <c r="E394">
        <v>32</v>
      </c>
      <c r="F394" t="s">
        <v>154</v>
      </c>
      <c r="G394" t="s">
        <v>17</v>
      </c>
      <c r="H394">
        <v>42564</v>
      </c>
      <c r="I394" s="6">
        <v>41934</v>
      </c>
      <c r="J394">
        <v>11</v>
      </c>
      <c r="K394" t="s">
        <v>856</v>
      </c>
      <c r="L394" t="s">
        <v>25</v>
      </c>
      <c r="M394">
        <v>2</v>
      </c>
      <c r="N394" t="s">
        <v>1060</v>
      </c>
      <c r="O394" t="s">
        <v>1076</v>
      </c>
    </row>
    <row r="395" spans="1:15" x14ac:dyDescent="0.25">
      <c r="A395" t="s">
        <v>857</v>
      </c>
      <c r="B395" t="s">
        <v>62</v>
      </c>
      <c r="C395" t="s">
        <v>76</v>
      </c>
      <c r="D395" t="s">
        <v>8</v>
      </c>
      <c r="E395">
        <v>42</v>
      </c>
      <c r="F395" t="s">
        <v>1066</v>
      </c>
      <c r="G395" t="s">
        <v>105</v>
      </c>
      <c r="H395">
        <v>103845</v>
      </c>
      <c r="I395" s="6">
        <v>39793</v>
      </c>
      <c r="J395">
        <v>17</v>
      </c>
      <c r="K395" t="s">
        <v>147</v>
      </c>
      <c r="L395" t="s">
        <v>65</v>
      </c>
      <c r="M395">
        <v>5</v>
      </c>
      <c r="N395" t="s">
        <v>1062</v>
      </c>
      <c r="O395" t="s">
        <v>1074</v>
      </c>
    </row>
    <row r="396" spans="1:15" x14ac:dyDescent="0.25">
      <c r="A396" t="s">
        <v>858</v>
      </c>
      <c r="B396" t="s">
        <v>79</v>
      </c>
      <c r="C396" t="s">
        <v>169</v>
      </c>
      <c r="D396" t="s">
        <v>1</v>
      </c>
      <c r="E396">
        <v>33</v>
      </c>
      <c r="F396" t="s">
        <v>1066</v>
      </c>
      <c r="G396" t="s">
        <v>44</v>
      </c>
      <c r="H396">
        <v>88028</v>
      </c>
      <c r="I396" s="6">
        <v>43544</v>
      </c>
      <c r="J396">
        <v>7</v>
      </c>
      <c r="K396" t="s">
        <v>735</v>
      </c>
      <c r="L396" t="s">
        <v>107</v>
      </c>
      <c r="M396">
        <v>4</v>
      </c>
      <c r="N396" t="s">
        <v>1060</v>
      </c>
      <c r="O396" t="s">
        <v>1077</v>
      </c>
    </row>
    <row r="397" spans="1:15" x14ac:dyDescent="0.25">
      <c r="A397" t="s">
        <v>859</v>
      </c>
      <c r="B397" t="s">
        <v>530</v>
      </c>
      <c r="C397" t="s">
        <v>104</v>
      </c>
      <c r="D397" t="s">
        <v>8</v>
      </c>
      <c r="E397">
        <v>28</v>
      </c>
      <c r="F397" t="s">
        <v>9</v>
      </c>
      <c r="G397" t="s">
        <v>17</v>
      </c>
      <c r="H397">
        <v>78310</v>
      </c>
      <c r="I397" s="6">
        <v>43537</v>
      </c>
      <c r="J397">
        <v>7</v>
      </c>
      <c r="K397" t="s">
        <v>731</v>
      </c>
      <c r="L397" t="s">
        <v>207</v>
      </c>
      <c r="M397">
        <v>4</v>
      </c>
      <c r="N397" t="s">
        <v>1075</v>
      </c>
      <c r="O397" t="s">
        <v>1077</v>
      </c>
    </row>
    <row r="398" spans="1:15" x14ac:dyDescent="0.25">
      <c r="A398" t="s">
        <v>860</v>
      </c>
      <c r="B398" t="s">
        <v>94</v>
      </c>
      <c r="C398" t="s">
        <v>308</v>
      </c>
      <c r="D398" t="s">
        <v>8</v>
      </c>
      <c r="E398">
        <v>57</v>
      </c>
      <c r="F398" t="s">
        <v>154</v>
      </c>
      <c r="G398" t="s">
        <v>161</v>
      </c>
      <c r="H398">
        <v>96055</v>
      </c>
      <c r="I398" s="6">
        <v>40567</v>
      </c>
      <c r="J398">
        <v>15</v>
      </c>
      <c r="K398" t="s">
        <v>861</v>
      </c>
      <c r="L398" t="s">
        <v>25</v>
      </c>
      <c r="M398">
        <v>4</v>
      </c>
      <c r="N398" t="s">
        <v>1065</v>
      </c>
      <c r="O398" t="s">
        <v>1077</v>
      </c>
    </row>
    <row r="399" spans="1:15" x14ac:dyDescent="0.25">
      <c r="A399" t="s">
        <v>862</v>
      </c>
      <c r="B399" t="s">
        <v>451</v>
      </c>
      <c r="C399" t="s">
        <v>375</v>
      </c>
      <c r="D399" t="s">
        <v>8</v>
      </c>
      <c r="E399">
        <v>38</v>
      </c>
      <c r="F399" t="s">
        <v>32</v>
      </c>
      <c r="G399" t="s">
        <v>44</v>
      </c>
      <c r="H399">
        <v>70472.5</v>
      </c>
      <c r="I399" s="6">
        <v>42539</v>
      </c>
      <c r="J399">
        <v>10</v>
      </c>
      <c r="K399" t="s">
        <v>863</v>
      </c>
      <c r="L399" t="s">
        <v>4</v>
      </c>
      <c r="M399">
        <v>3</v>
      </c>
      <c r="N399" t="s">
        <v>1061</v>
      </c>
      <c r="O399" t="s">
        <v>1077</v>
      </c>
    </row>
    <row r="400" spans="1:15" x14ac:dyDescent="0.25">
      <c r="A400" t="s">
        <v>864</v>
      </c>
      <c r="B400" t="s">
        <v>6</v>
      </c>
      <c r="C400" t="s">
        <v>799</v>
      </c>
      <c r="D400" t="s">
        <v>1</v>
      </c>
      <c r="E400">
        <v>52</v>
      </c>
      <c r="F400" t="s">
        <v>142</v>
      </c>
      <c r="G400" t="s">
        <v>17</v>
      </c>
      <c r="H400">
        <v>55032.01</v>
      </c>
      <c r="I400" s="6">
        <v>43810</v>
      </c>
      <c r="J400">
        <v>6</v>
      </c>
      <c r="K400" t="s">
        <v>865</v>
      </c>
      <c r="L400" t="s">
        <v>85</v>
      </c>
      <c r="M400">
        <v>3</v>
      </c>
      <c r="N400" t="s">
        <v>1064</v>
      </c>
      <c r="O400" t="s">
        <v>1077</v>
      </c>
    </row>
    <row r="401" spans="1:15" x14ac:dyDescent="0.25">
      <c r="A401" t="s">
        <v>866</v>
      </c>
      <c r="B401" t="s">
        <v>401</v>
      </c>
      <c r="C401" t="s">
        <v>375</v>
      </c>
      <c r="D401" t="s">
        <v>23</v>
      </c>
      <c r="E401">
        <v>24</v>
      </c>
      <c r="F401" t="s">
        <v>133</v>
      </c>
      <c r="G401" t="s">
        <v>63</v>
      </c>
      <c r="H401">
        <v>62522</v>
      </c>
      <c r="I401" s="6">
        <v>45589</v>
      </c>
      <c r="J401">
        <v>1</v>
      </c>
      <c r="K401" t="s">
        <v>867</v>
      </c>
      <c r="L401" t="s">
        <v>14</v>
      </c>
      <c r="M401">
        <v>3</v>
      </c>
      <c r="N401" t="s">
        <v>1075</v>
      </c>
      <c r="O401" t="s">
        <v>1077</v>
      </c>
    </row>
    <row r="402" spans="1:15" x14ac:dyDescent="0.25">
      <c r="A402" t="s">
        <v>868</v>
      </c>
      <c r="B402" t="s">
        <v>30</v>
      </c>
      <c r="C402" t="s">
        <v>59</v>
      </c>
      <c r="D402" t="s">
        <v>23</v>
      </c>
      <c r="E402">
        <v>24</v>
      </c>
      <c r="F402" t="s">
        <v>36</v>
      </c>
      <c r="G402" t="s">
        <v>44</v>
      </c>
      <c r="H402">
        <v>82760</v>
      </c>
      <c r="I402" s="6">
        <v>44891</v>
      </c>
      <c r="J402">
        <v>3</v>
      </c>
      <c r="K402" t="s">
        <v>368</v>
      </c>
      <c r="L402" t="s">
        <v>28</v>
      </c>
      <c r="M402">
        <v>4</v>
      </c>
      <c r="N402" t="s">
        <v>1075</v>
      </c>
      <c r="O402" t="s">
        <v>1077</v>
      </c>
    </row>
    <row r="403" spans="1:15" x14ac:dyDescent="0.25">
      <c r="A403" t="s">
        <v>869</v>
      </c>
      <c r="B403" t="s">
        <v>378</v>
      </c>
      <c r="C403" t="s">
        <v>83</v>
      </c>
      <c r="D403" t="s">
        <v>23</v>
      </c>
      <c r="E403">
        <v>45</v>
      </c>
      <c r="F403" t="s">
        <v>181</v>
      </c>
      <c r="G403" t="s">
        <v>44</v>
      </c>
      <c r="H403">
        <v>47614.05</v>
      </c>
      <c r="I403" s="6">
        <v>40597</v>
      </c>
      <c r="J403">
        <v>15</v>
      </c>
      <c r="K403" t="s">
        <v>837</v>
      </c>
      <c r="L403" t="s">
        <v>14</v>
      </c>
      <c r="M403">
        <v>4</v>
      </c>
      <c r="N403" t="s">
        <v>1062</v>
      </c>
      <c r="O403" t="s">
        <v>1076</v>
      </c>
    </row>
    <row r="404" spans="1:15" x14ac:dyDescent="0.25">
      <c r="A404" t="s">
        <v>870</v>
      </c>
      <c r="B404" t="s">
        <v>355</v>
      </c>
      <c r="C404" t="s">
        <v>269</v>
      </c>
      <c r="D404" t="s">
        <v>23</v>
      </c>
      <c r="E404">
        <v>37</v>
      </c>
      <c r="F404" t="s">
        <v>133</v>
      </c>
      <c r="G404" t="s">
        <v>44</v>
      </c>
      <c r="H404">
        <v>57312</v>
      </c>
      <c r="I404" s="6">
        <v>44809</v>
      </c>
      <c r="J404">
        <v>4</v>
      </c>
      <c r="K404" t="s">
        <v>871</v>
      </c>
      <c r="L404" t="s">
        <v>85</v>
      </c>
      <c r="M404">
        <v>3</v>
      </c>
      <c r="N404" t="s">
        <v>1061</v>
      </c>
      <c r="O404" t="s">
        <v>1077</v>
      </c>
    </row>
    <row r="405" spans="1:15" x14ac:dyDescent="0.25">
      <c r="A405" t="s">
        <v>872</v>
      </c>
      <c r="B405" t="s">
        <v>714</v>
      </c>
      <c r="C405" t="s">
        <v>7</v>
      </c>
      <c r="D405" t="s">
        <v>23</v>
      </c>
      <c r="E405">
        <v>34</v>
      </c>
      <c r="F405" t="s">
        <v>36</v>
      </c>
      <c r="G405" t="s">
        <v>2</v>
      </c>
      <c r="H405">
        <v>124001</v>
      </c>
      <c r="I405" s="6">
        <v>43595</v>
      </c>
      <c r="J405">
        <v>7</v>
      </c>
      <c r="K405" t="s">
        <v>873</v>
      </c>
      <c r="L405" t="s">
        <v>28</v>
      </c>
      <c r="M405">
        <v>5</v>
      </c>
      <c r="N405" t="s">
        <v>1060</v>
      </c>
      <c r="O405" t="s">
        <v>1074</v>
      </c>
    </row>
    <row r="406" spans="1:15" x14ac:dyDescent="0.25">
      <c r="A406" t="s">
        <v>874</v>
      </c>
      <c r="B406" t="s">
        <v>94</v>
      </c>
      <c r="C406" t="s">
        <v>351</v>
      </c>
      <c r="D406" t="s">
        <v>8</v>
      </c>
      <c r="E406">
        <v>38</v>
      </c>
      <c r="F406" t="s">
        <v>181</v>
      </c>
      <c r="G406" t="s">
        <v>100</v>
      </c>
      <c r="H406">
        <v>50394.165000000001</v>
      </c>
      <c r="I406" s="6">
        <v>41574</v>
      </c>
      <c r="J406">
        <v>12</v>
      </c>
      <c r="K406" t="s">
        <v>875</v>
      </c>
      <c r="L406" t="s">
        <v>11</v>
      </c>
      <c r="M406">
        <v>3</v>
      </c>
      <c r="N406" t="s">
        <v>1061</v>
      </c>
      <c r="O406" t="s">
        <v>1077</v>
      </c>
    </row>
    <row r="407" spans="1:15" x14ac:dyDescent="0.25">
      <c r="A407" t="s">
        <v>876</v>
      </c>
      <c r="B407" t="s">
        <v>127</v>
      </c>
      <c r="C407" t="s">
        <v>180</v>
      </c>
      <c r="D407" t="s">
        <v>23</v>
      </c>
      <c r="E407">
        <v>44</v>
      </c>
      <c r="F407" t="s">
        <v>133</v>
      </c>
      <c r="G407" t="s">
        <v>17</v>
      </c>
      <c r="H407">
        <v>55739</v>
      </c>
      <c r="I407" s="6">
        <v>42090</v>
      </c>
      <c r="J407">
        <v>11</v>
      </c>
      <c r="K407" t="s">
        <v>877</v>
      </c>
      <c r="L407" t="s">
        <v>85</v>
      </c>
      <c r="M407">
        <v>3</v>
      </c>
      <c r="N407" t="s">
        <v>1062</v>
      </c>
      <c r="O407" t="s">
        <v>1077</v>
      </c>
    </row>
    <row r="408" spans="1:15" x14ac:dyDescent="0.25">
      <c r="A408" t="s">
        <v>878</v>
      </c>
      <c r="B408" t="s">
        <v>94</v>
      </c>
      <c r="C408" t="s">
        <v>118</v>
      </c>
      <c r="D408" t="s">
        <v>8</v>
      </c>
      <c r="E408">
        <v>30</v>
      </c>
      <c r="F408" t="s">
        <v>36</v>
      </c>
      <c r="G408" t="s">
        <v>100</v>
      </c>
      <c r="H408">
        <v>87361.8</v>
      </c>
      <c r="I408" s="6">
        <v>43614</v>
      </c>
      <c r="J408">
        <v>7</v>
      </c>
      <c r="K408" t="s">
        <v>879</v>
      </c>
      <c r="L408" t="s">
        <v>120</v>
      </c>
      <c r="M408">
        <v>3</v>
      </c>
      <c r="N408" t="s">
        <v>1075</v>
      </c>
      <c r="O408" t="s">
        <v>1077</v>
      </c>
    </row>
    <row r="409" spans="1:15" x14ac:dyDescent="0.25">
      <c r="A409" t="s">
        <v>880</v>
      </c>
      <c r="B409" t="s">
        <v>56</v>
      </c>
      <c r="C409" t="s">
        <v>153</v>
      </c>
      <c r="D409" t="s">
        <v>1</v>
      </c>
      <c r="E409">
        <v>31</v>
      </c>
      <c r="F409" t="s">
        <v>203</v>
      </c>
      <c r="G409" t="s">
        <v>17</v>
      </c>
      <c r="H409">
        <v>57971</v>
      </c>
      <c r="I409" s="6">
        <v>44956</v>
      </c>
      <c r="J409">
        <v>3</v>
      </c>
      <c r="K409" t="s">
        <v>881</v>
      </c>
      <c r="L409" t="s">
        <v>54</v>
      </c>
      <c r="M409">
        <v>3</v>
      </c>
      <c r="N409" t="s">
        <v>1060</v>
      </c>
      <c r="O409" t="s">
        <v>1077</v>
      </c>
    </row>
    <row r="410" spans="1:15" x14ac:dyDescent="0.25">
      <c r="A410" t="s">
        <v>882</v>
      </c>
      <c r="B410" t="s">
        <v>229</v>
      </c>
      <c r="C410" t="s">
        <v>427</v>
      </c>
      <c r="D410" t="s">
        <v>23</v>
      </c>
      <c r="E410">
        <v>28</v>
      </c>
      <c r="F410" t="s">
        <v>32</v>
      </c>
      <c r="G410" t="s">
        <v>17</v>
      </c>
      <c r="H410">
        <v>80305</v>
      </c>
      <c r="I410" s="6">
        <v>43847</v>
      </c>
      <c r="J410">
        <v>6</v>
      </c>
      <c r="K410" t="s">
        <v>883</v>
      </c>
      <c r="L410" t="s">
        <v>85</v>
      </c>
      <c r="M410">
        <v>3</v>
      </c>
      <c r="N410" t="s">
        <v>1075</v>
      </c>
      <c r="O410" t="s">
        <v>1077</v>
      </c>
    </row>
    <row r="411" spans="1:15" x14ac:dyDescent="0.25">
      <c r="A411" t="s">
        <v>884</v>
      </c>
      <c r="B411" t="s">
        <v>221</v>
      </c>
      <c r="C411" t="s">
        <v>394</v>
      </c>
      <c r="D411" t="s">
        <v>1</v>
      </c>
      <c r="E411">
        <v>47</v>
      </c>
      <c r="F411" t="s">
        <v>313</v>
      </c>
      <c r="G411" t="s">
        <v>44</v>
      </c>
      <c r="H411">
        <v>90015</v>
      </c>
      <c r="I411" s="6">
        <v>41248</v>
      </c>
      <c r="J411">
        <v>13</v>
      </c>
      <c r="K411" t="s">
        <v>885</v>
      </c>
      <c r="L411" t="s">
        <v>107</v>
      </c>
      <c r="M411">
        <v>3</v>
      </c>
      <c r="N411" t="s">
        <v>1063</v>
      </c>
      <c r="O411" t="s">
        <v>1077</v>
      </c>
    </row>
    <row r="412" spans="1:15" x14ac:dyDescent="0.25">
      <c r="A412" t="s">
        <v>886</v>
      </c>
      <c r="B412" t="s">
        <v>132</v>
      </c>
      <c r="C412" t="s">
        <v>118</v>
      </c>
      <c r="D412" t="s">
        <v>23</v>
      </c>
      <c r="E412">
        <v>44</v>
      </c>
      <c r="F412" t="s">
        <v>1066</v>
      </c>
      <c r="G412" t="s">
        <v>63</v>
      </c>
      <c r="H412">
        <v>67257</v>
      </c>
      <c r="I412" s="6">
        <v>43021</v>
      </c>
      <c r="J412">
        <v>8</v>
      </c>
      <c r="K412" t="s">
        <v>887</v>
      </c>
      <c r="L412" t="s">
        <v>85</v>
      </c>
      <c r="M412">
        <v>3</v>
      </c>
      <c r="N412" t="s">
        <v>1062</v>
      </c>
      <c r="O412" t="s">
        <v>1077</v>
      </c>
    </row>
    <row r="413" spans="1:15" x14ac:dyDescent="0.25">
      <c r="A413" t="s">
        <v>888</v>
      </c>
      <c r="B413" t="s">
        <v>232</v>
      </c>
      <c r="C413" t="s">
        <v>452</v>
      </c>
      <c r="D413" t="s">
        <v>8</v>
      </c>
      <c r="E413">
        <v>46</v>
      </c>
      <c r="F413" t="s">
        <v>295</v>
      </c>
      <c r="G413" t="s">
        <v>63</v>
      </c>
      <c r="H413">
        <v>72366</v>
      </c>
      <c r="I413" s="6">
        <v>40129</v>
      </c>
      <c r="J413">
        <v>16</v>
      </c>
      <c r="K413" t="s">
        <v>889</v>
      </c>
      <c r="L413" t="s">
        <v>28</v>
      </c>
      <c r="M413">
        <v>1</v>
      </c>
      <c r="N413" t="s">
        <v>1063</v>
      </c>
      <c r="O413" t="s">
        <v>1077</v>
      </c>
    </row>
    <row r="414" spans="1:15" x14ac:dyDescent="0.25">
      <c r="A414" t="s">
        <v>890</v>
      </c>
      <c r="B414" t="s">
        <v>714</v>
      </c>
      <c r="C414" t="s">
        <v>22</v>
      </c>
      <c r="D414" t="s">
        <v>23</v>
      </c>
      <c r="E414">
        <v>31</v>
      </c>
      <c r="F414" t="s">
        <v>32</v>
      </c>
      <c r="G414" t="s">
        <v>63</v>
      </c>
      <c r="H414">
        <v>80921</v>
      </c>
      <c r="I414" s="6">
        <v>42825</v>
      </c>
      <c r="J414">
        <v>9</v>
      </c>
      <c r="K414" t="s">
        <v>891</v>
      </c>
      <c r="L414" t="s">
        <v>120</v>
      </c>
      <c r="M414">
        <v>4</v>
      </c>
      <c r="N414" t="s">
        <v>1060</v>
      </c>
      <c r="O414" t="s">
        <v>1077</v>
      </c>
    </row>
    <row r="415" spans="1:15" x14ac:dyDescent="0.25">
      <c r="A415" t="s">
        <v>892</v>
      </c>
      <c r="B415" t="s">
        <v>56</v>
      </c>
      <c r="C415" t="s">
        <v>35</v>
      </c>
      <c r="D415" t="s">
        <v>23</v>
      </c>
      <c r="E415">
        <v>48</v>
      </c>
      <c r="F415" t="s">
        <v>313</v>
      </c>
      <c r="G415" t="s">
        <v>17</v>
      </c>
      <c r="H415">
        <v>109713</v>
      </c>
      <c r="I415" s="6">
        <v>41085</v>
      </c>
      <c r="J415">
        <v>14</v>
      </c>
      <c r="K415" t="s">
        <v>893</v>
      </c>
      <c r="L415" t="s">
        <v>65</v>
      </c>
      <c r="M415">
        <v>3</v>
      </c>
      <c r="N415" t="s">
        <v>1063</v>
      </c>
      <c r="O415" t="s">
        <v>1074</v>
      </c>
    </row>
    <row r="416" spans="1:15" x14ac:dyDescent="0.25">
      <c r="A416" t="s">
        <v>894</v>
      </c>
      <c r="B416" t="s">
        <v>334</v>
      </c>
      <c r="C416" t="s">
        <v>166</v>
      </c>
      <c r="D416" t="s">
        <v>1</v>
      </c>
      <c r="E416">
        <v>52</v>
      </c>
      <c r="F416" t="s">
        <v>36</v>
      </c>
      <c r="G416" t="s">
        <v>44</v>
      </c>
      <c r="H416">
        <v>79853</v>
      </c>
      <c r="I416" s="6">
        <v>44683</v>
      </c>
      <c r="J416">
        <v>4</v>
      </c>
      <c r="K416" t="s">
        <v>693</v>
      </c>
      <c r="L416" t="s">
        <v>28</v>
      </c>
      <c r="M416">
        <v>2</v>
      </c>
      <c r="N416" t="s">
        <v>1064</v>
      </c>
      <c r="O416" t="s">
        <v>1077</v>
      </c>
    </row>
    <row r="417" spans="1:15" x14ac:dyDescent="0.25">
      <c r="A417" t="s">
        <v>895</v>
      </c>
      <c r="B417" t="s">
        <v>469</v>
      </c>
      <c r="C417" t="s">
        <v>83</v>
      </c>
      <c r="D417" t="s">
        <v>23</v>
      </c>
      <c r="E417">
        <v>54</v>
      </c>
      <c r="F417" t="s">
        <v>181</v>
      </c>
      <c r="G417" t="s">
        <v>2</v>
      </c>
      <c r="H417">
        <v>79100</v>
      </c>
      <c r="I417" s="6">
        <v>40063</v>
      </c>
      <c r="J417">
        <v>17</v>
      </c>
      <c r="K417" t="s">
        <v>896</v>
      </c>
      <c r="L417" t="s">
        <v>19</v>
      </c>
      <c r="M417">
        <v>3</v>
      </c>
      <c r="N417" t="s">
        <v>1064</v>
      </c>
      <c r="O417" t="s">
        <v>1077</v>
      </c>
    </row>
    <row r="418" spans="1:15" x14ac:dyDescent="0.25">
      <c r="A418" t="s">
        <v>897</v>
      </c>
      <c r="B418" t="s">
        <v>401</v>
      </c>
      <c r="C418" t="s">
        <v>589</v>
      </c>
      <c r="D418" t="s">
        <v>1</v>
      </c>
      <c r="E418">
        <v>58</v>
      </c>
      <c r="F418" t="s">
        <v>36</v>
      </c>
      <c r="G418" t="s">
        <v>216</v>
      </c>
      <c r="H418">
        <v>226067.4</v>
      </c>
      <c r="I418" s="6">
        <v>38965</v>
      </c>
      <c r="J418">
        <v>20</v>
      </c>
      <c r="K418" t="s">
        <v>898</v>
      </c>
      <c r="L418" t="s">
        <v>49</v>
      </c>
      <c r="M418">
        <v>5</v>
      </c>
      <c r="N418" t="s">
        <v>1065</v>
      </c>
      <c r="O418" t="s">
        <v>1079</v>
      </c>
    </row>
    <row r="419" spans="1:15" x14ac:dyDescent="0.25">
      <c r="A419" t="s">
        <v>899</v>
      </c>
      <c r="B419" t="s">
        <v>316</v>
      </c>
      <c r="C419" t="s">
        <v>180</v>
      </c>
      <c r="D419" t="s">
        <v>1</v>
      </c>
      <c r="E419">
        <v>45</v>
      </c>
      <c r="F419" t="s">
        <v>32</v>
      </c>
      <c r="G419" t="s">
        <v>37</v>
      </c>
      <c r="H419">
        <v>86160</v>
      </c>
      <c r="I419" s="6">
        <v>39991</v>
      </c>
      <c r="J419">
        <v>17</v>
      </c>
      <c r="K419" t="s">
        <v>900</v>
      </c>
      <c r="L419" t="s">
        <v>85</v>
      </c>
      <c r="M419">
        <v>4</v>
      </c>
      <c r="N419" t="s">
        <v>1062</v>
      </c>
      <c r="O419" t="s">
        <v>1077</v>
      </c>
    </row>
    <row r="420" spans="1:15" x14ac:dyDescent="0.25">
      <c r="A420" t="s">
        <v>901</v>
      </c>
      <c r="B420" t="s">
        <v>67</v>
      </c>
      <c r="C420" t="s">
        <v>269</v>
      </c>
      <c r="D420" t="s">
        <v>23</v>
      </c>
      <c r="E420">
        <v>46</v>
      </c>
      <c r="F420" t="s">
        <v>133</v>
      </c>
      <c r="G420" t="s">
        <v>17</v>
      </c>
      <c r="H420">
        <v>55607.01</v>
      </c>
      <c r="I420" s="6">
        <v>40456</v>
      </c>
      <c r="J420">
        <v>16</v>
      </c>
      <c r="K420" t="s">
        <v>902</v>
      </c>
      <c r="L420" t="s">
        <v>120</v>
      </c>
      <c r="M420">
        <v>4</v>
      </c>
      <c r="N420" t="s">
        <v>1063</v>
      </c>
      <c r="O420" t="s">
        <v>1077</v>
      </c>
    </row>
    <row r="421" spans="1:15" x14ac:dyDescent="0.25">
      <c r="A421" t="s">
        <v>903</v>
      </c>
      <c r="B421" t="s">
        <v>624</v>
      </c>
      <c r="C421" t="s">
        <v>124</v>
      </c>
      <c r="D421" t="s">
        <v>1</v>
      </c>
      <c r="E421">
        <v>55</v>
      </c>
      <c r="F421" t="s">
        <v>133</v>
      </c>
      <c r="G421" t="s">
        <v>63</v>
      </c>
      <c r="H421">
        <v>62522</v>
      </c>
      <c r="I421" s="6">
        <v>39070</v>
      </c>
      <c r="J421">
        <v>19</v>
      </c>
      <c r="K421" t="s">
        <v>904</v>
      </c>
      <c r="L421" t="s">
        <v>85</v>
      </c>
      <c r="M421">
        <v>3</v>
      </c>
      <c r="N421" t="s">
        <v>1064</v>
      </c>
      <c r="O421" t="s">
        <v>1077</v>
      </c>
    </row>
    <row r="422" spans="1:15" x14ac:dyDescent="0.25">
      <c r="A422" t="s">
        <v>905</v>
      </c>
      <c r="B422" t="s">
        <v>132</v>
      </c>
      <c r="C422" t="s">
        <v>222</v>
      </c>
      <c r="D422" t="s">
        <v>23</v>
      </c>
      <c r="E422">
        <v>55</v>
      </c>
      <c r="F422" t="s">
        <v>313</v>
      </c>
      <c r="G422" t="s">
        <v>44</v>
      </c>
      <c r="H422">
        <v>82696</v>
      </c>
      <c r="I422" s="6">
        <v>40483</v>
      </c>
      <c r="J422">
        <v>15</v>
      </c>
      <c r="K422" t="s">
        <v>906</v>
      </c>
      <c r="L422" t="s">
        <v>25</v>
      </c>
      <c r="M422">
        <v>3</v>
      </c>
      <c r="N422" t="s">
        <v>1064</v>
      </c>
      <c r="O422" t="s">
        <v>1077</v>
      </c>
    </row>
    <row r="423" spans="1:15" x14ac:dyDescent="0.25">
      <c r="A423" t="s">
        <v>907</v>
      </c>
      <c r="B423" t="s">
        <v>67</v>
      </c>
      <c r="C423" t="s">
        <v>452</v>
      </c>
      <c r="D423" t="s">
        <v>8</v>
      </c>
      <c r="E423">
        <v>66</v>
      </c>
      <c r="F423" t="s">
        <v>313</v>
      </c>
      <c r="G423" t="s">
        <v>161</v>
      </c>
      <c r="H423">
        <v>186728.37</v>
      </c>
      <c r="I423" s="6">
        <v>41540</v>
      </c>
      <c r="J423">
        <v>13</v>
      </c>
      <c r="K423" t="s">
        <v>908</v>
      </c>
      <c r="L423" t="s">
        <v>49</v>
      </c>
      <c r="M423">
        <v>3</v>
      </c>
      <c r="N423" t="s">
        <v>1080</v>
      </c>
      <c r="O423" t="s">
        <v>1078</v>
      </c>
    </row>
    <row r="424" spans="1:15" x14ac:dyDescent="0.25">
      <c r="A424" t="s">
        <v>909</v>
      </c>
      <c r="B424" t="s">
        <v>132</v>
      </c>
      <c r="C424" t="s">
        <v>269</v>
      </c>
      <c r="D424" t="s">
        <v>23</v>
      </c>
      <c r="E424">
        <v>51</v>
      </c>
      <c r="F424" t="s">
        <v>181</v>
      </c>
      <c r="G424" t="s">
        <v>37</v>
      </c>
      <c r="H424">
        <v>57771</v>
      </c>
      <c r="I424" s="6">
        <v>40337</v>
      </c>
      <c r="J424">
        <v>16</v>
      </c>
      <c r="K424" t="s">
        <v>910</v>
      </c>
      <c r="L424" t="s">
        <v>14</v>
      </c>
      <c r="M424">
        <v>4</v>
      </c>
      <c r="N424" t="s">
        <v>1064</v>
      </c>
      <c r="O424" t="s">
        <v>1077</v>
      </c>
    </row>
    <row r="425" spans="1:15" x14ac:dyDescent="0.25">
      <c r="A425" t="s">
        <v>911</v>
      </c>
      <c r="B425" t="s">
        <v>221</v>
      </c>
      <c r="C425" t="s">
        <v>59</v>
      </c>
      <c r="D425" t="s">
        <v>1</v>
      </c>
      <c r="E425">
        <v>61</v>
      </c>
      <c r="F425" t="s">
        <v>203</v>
      </c>
      <c r="G425" t="s">
        <v>17</v>
      </c>
      <c r="H425">
        <v>58635</v>
      </c>
      <c r="I425" s="6">
        <v>42500</v>
      </c>
      <c r="J425">
        <v>10</v>
      </c>
      <c r="K425" t="s">
        <v>912</v>
      </c>
      <c r="L425" t="s">
        <v>4</v>
      </c>
      <c r="M425">
        <v>3</v>
      </c>
      <c r="N425" t="s">
        <v>1080</v>
      </c>
      <c r="O425" t="s">
        <v>1077</v>
      </c>
    </row>
    <row r="426" spans="1:15" x14ac:dyDescent="0.25">
      <c r="A426" t="s">
        <v>913</v>
      </c>
      <c r="B426" t="s">
        <v>6</v>
      </c>
      <c r="C426" t="s">
        <v>427</v>
      </c>
      <c r="D426" t="s">
        <v>1</v>
      </c>
      <c r="E426">
        <v>53</v>
      </c>
      <c r="F426" t="s">
        <v>295</v>
      </c>
      <c r="G426" t="s">
        <v>63</v>
      </c>
      <c r="H426">
        <v>68739</v>
      </c>
      <c r="I426" s="6">
        <v>39621</v>
      </c>
      <c r="J426">
        <v>18</v>
      </c>
      <c r="K426" t="s">
        <v>914</v>
      </c>
      <c r="L426" t="s">
        <v>85</v>
      </c>
      <c r="M426">
        <v>2</v>
      </c>
      <c r="N426" t="s">
        <v>1064</v>
      </c>
      <c r="O426" t="s">
        <v>1077</v>
      </c>
    </row>
    <row r="427" spans="1:15" x14ac:dyDescent="0.25">
      <c r="A427" t="s">
        <v>915</v>
      </c>
      <c r="B427" t="s">
        <v>268</v>
      </c>
      <c r="C427" t="s">
        <v>80</v>
      </c>
      <c r="D427" t="s">
        <v>23</v>
      </c>
      <c r="E427">
        <v>40</v>
      </c>
      <c r="F427" t="s">
        <v>36</v>
      </c>
      <c r="G427" t="s">
        <v>2</v>
      </c>
      <c r="H427">
        <v>134437</v>
      </c>
      <c r="I427" s="6">
        <v>39386</v>
      </c>
      <c r="J427">
        <v>18</v>
      </c>
      <c r="K427" t="s">
        <v>916</v>
      </c>
      <c r="L427" t="s">
        <v>14</v>
      </c>
      <c r="M427">
        <v>4</v>
      </c>
      <c r="N427" t="s">
        <v>1061</v>
      </c>
      <c r="O427" t="s">
        <v>1074</v>
      </c>
    </row>
    <row r="428" spans="1:15" x14ac:dyDescent="0.25">
      <c r="A428" t="s">
        <v>917</v>
      </c>
      <c r="B428" t="s">
        <v>316</v>
      </c>
      <c r="C428" t="s">
        <v>22</v>
      </c>
      <c r="D428" t="s">
        <v>8</v>
      </c>
      <c r="E428">
        <v>51</v>
      </c>
      <c r="F428" t="s">
        <v>181</v>
      </c>
      <c r="G428" t="s">
        <v>161</v>
      </c>
      <c r="H428">
        <v>112174</v>
      </c>
      <c r="I428" s="6">
        <v>41514</v>
      </c>
      <c r="J428">
        <v>13</v>
      </c>
      <c r="K428" t="s">
        <v>918</v>
      </c>
      <c r="L428" t="s">
        <v>25</v>
      </c>
      <c r="M428">
        <v>3</v>
      </c>
      <c r="N428" t="s">
        <v>1064</v>
      </c>
      <c r="O428" t="s">
        <v>1074</v>
      </c>
    </row>
    <row r="429" spans="1:15" x14ac:dyDescent="0.25">
      <c r="A429" t="s">
        <v>919</v>
      </c>
      <c r="B429" t="s">
        <v>30</v>
      </c>
      <c r="C429" t="s">
        <v>153</v>
      </c>
      <c r="D429" t="s">
        <v>23</v>
      </c>
      <c r="E429">
        <v>50</v>
      </c>
      <c r="F429" t="s">
        <v>9</v>
      </c>
      <c r="G429" t="s">
        <v>105</v>
      </c>
      <c r="H429">
        <v>148596.92000000001</v>
      </c>
      <c r="I429" s="6">
        <v>45305</v>
      </c>
      <c r="J429">
        <v>2</v>
      </c>
      <c r="K429" t="s">
        <v>920</v>
      </c>
      <c r="L429" t="s">
        <v>85</v>
      </c>
      <c r="M429">
        <v>4</v>
      </c>
      <c r="N429" t="s">
        <v>1063</v>
      </c>
      <c r="O429" t="s">
        <v>1074</v>
      </c>
    </row>
    <row r="430" spans="1:15" x14ac:dyDescent="0.25">
      <c r="A430" t="s">
        <v>921</v>
      </c>
      <c r="B430" t="s">
        <v>714</v>
      </c>
      <c r="C430" t="s">
        <v>799</v>
      </c>
      <c r="D430" t="s">
        <v>8</v>
      </c>
      <c r="E430">
        <v>50</v>
      </c>
      <c r="F430" t="s">
        <v>313</v>
      </c>
      <c r="G430" t="s">
        <v>2</v>
      </c>
      <c r="H430">
        <v>137511</v>
      </c>
      <c r="I430" s="6">
        <v>43733</v>
      </c>
      <c r="J430">
        <v>7</v>
      </c>
      <c r="K430" t="s">
        <v>922</v>
      </c>
      <c r="L430" t="s">
        <v>25</v>
      </c>
      <c r="M430">
        <v>2</v>
      </c>
      <c r="N430" t="s">
        <v>1063</v>
      </c>
      <c r="O430" t="s">
        <v>1074</v>
      </c>
    </row>
    <row r="431" spans="1:15" x14ac:dyDescent="0.25">
      <c r="A431" t="s">
        <v>923</v>
      </c>
      <c r="B431" t="s">
        <v>316</v>
      </c>
      <c r="C431" t="s">
        <v>562</v>
      </c>
      <c r="D431" t="s">
        <v>8</v>
      </c>
      <c r="E431">
        <v>54</v>
      </c>
      <c r="F431" t="s">
        <v>32</v>
      </c>
      <c r="G431" t="s">
        <v>161</v>
      </c>
      <c r="H431">
        <v>161135</v>
      </c>
      <c r="I431" s="6">
        <v>38499</v>
      </c>
      <c r="J431">
        <v>21</v>
      </c>
      <c r="K431" t="s">
        <v>924</v>
      </c>
      <c r="L431" t="s">
        <v>54</v>
      </c>
      <c r="M431">
        <v>1</v>
      </c>
      <c r="N431" t="s">
        <v>1064</v>
      </c>
      <c r="O431" t="s">
        <v>1078</v>
      </c>
    </row>
    <row r="432" spans="1:15" x14ac:dyDescent="0.25">
      <c r="A432" t="s">
        <v>925</v>
      </c>
      <c r="B432" t="s">
        <v>62</v>
      </c>
      <c r="C432" t="s">
        <v>118</v>
      </c>
      <c r="D432" t="s">
        <v>23</v>
      </c>
      <c r="E432">
        <v>41</v>
      </c>
      <c r="F432" t="s">
        <v>9</v>
      </c>
      <c r="G432" t="s">
        <v>100</v>
      </c>
      <c r="H432">
        <v>77101</v>
      </c>
      <c r="I432" s="6">
        <v>40259</v>
      </c>
      <c r="J432">
        <v>16</v>
      </c>
      <c r="K432" t="s">
        <v>926</v>
      </c>
      <c r="L432" t="s">
        <v>207</v>
      </c>
      <c r="M432">
        <v>5</v>
      </c>
      <c r="N432" t="s">
        <v>1062</v>
      </c>
      <c r="O432" t="s">
        <v>1077</v>
      </c>
    </row>
    <row r="433" spans="1:15" x14ac:dyDescent="0.25">
      <c r="A433" t="s">
        <v>927</v>
      </c>
      <c r="B433" t="s">
        <v>127</v>
      </c>
      <c r="C433" t="s">
        <v>215</v>
      </c>
      <c r="D433" t="s">
        <v>8</v>
      </c>
      <c r="E433">
        <v>51</v>
      </c>
      <c r="F433" t="s">
        <v>313</v>
      </c>
      <c r="G433" t="s">
        <v>44</v>
      </c>
      <c r="H433">
        <v>91969</v>
      </c>
      <c r="I433" s="6">
        <v>38737</v>
      </c>
      <c r="J433">
        <v>20</v>
      </c>
      <c r="K433" t="s">
        <v>928</v>
      </c>
      <c r="L433" t="s">
        <v>54</v>
      </c>
      <c r="M433">
        <v>4</v>
      </c>
      <c r="N433" t="s">
        <v>1064</v>
      </c>
      <c r="O433" t="s">
        <v>1077</v>
      </c>
    </row>
    <row r="434" spans="1:15" x14ac:dyDescent="0.25">
      <c r="A434" t="s">
        <v>929</v>
      </c>
      <c r="B434" t="s">
        <v>633</v>
      </c>
      <c r="C434" t="s">
        <v>375</v>
      </c>
      <c r="D434" t="s">
        <v>1</v>
      </c>
      <c r="E434">
        <v>36</v>
      </c>
      <c r="F434" t="s">
        <v>32</v>
      </c>
      <c r="G434" t="s">
        <v>161</v>
      </c>
      <c r="H434">
        <v>161135</v>
      </c>
      <c r="I434" s="6"/>
      <c r="K434" t="s">
        <v>930</v>
      </c>
      <c r="L434" t="s">
        <v>19</v>
      </c>
      <c r="M434">
        <v>3</v>
      </c>
      <c r="N434" t="s">
        <v>1061</v>
      </c>
      <c r="O434" t="s">
        <v>1078</v>
      </c>
    </row>
    <row r="435" spans="1:15" x14ac:dyDescent="0.25">
      <c r="A435" t="s">
        <v>931</v>
      </c>
      <c r="B435" t="s">
        <v>624</v>
      </c>
      <c r="C435" t="s">
        <v>166</v>
      </c>
      <c r="D435" t="s">
        <v>8</v>
      </c>
      <c r="E435">
        <v>34</v>
      </c>
      <c r="F435" t="s">
        <v>9</v>
      </c>
      <c r="G435" t="s">
        <v>2</v>
      </c>
      <c r="H435">
        <v>119403</v>
      </c>
      <c r="I435" s="6">
        <v>41397</v>
      </c>
      <c r="J435">
        <v>13</v>
      </c>
      <c r="K435" t="s">
        <v>932</v>
      </c>
      <c r="L435" t="s">
        <v>54</v>
      </c>
      <c r="M435">
        <v>2</v>
      </c>
      <c r="N435" t="s">
        <v>1060</v>
      </c>
      <c r="O435" t="s">
        <v>1074</v>
      </c>
    </row>
    <row r="436" spans="1:15" x14ac:dyDescent="0.25">
      <c r="A436" t="s">
        <v>933</v>
      </c>
      <c r="B436" t="s">
        <v>334</v>
      </c>
      <c r="C436" t="s">
        <v>180</v>
      </c>
      <c r="D436" t="s">
        <v>1</v>
      </c>
      <c r="E436">
        <v>51</v>
      </c>
      <c r="F436" t="s">
        <v>181</v>
      </c>
      <c r="G436" t="s">
        <v>100</v>
      </c>
      <c r="H436">
        <v>45308</v>
      </c>
      <c r="I436" s="6">
        <v>39936</v>
      </c>
      <c r="J436">
        <v>17</v>
      </c>
      <c r="K436" t="s">
        <v>934</v>
      </c>
      <c r="L436" t="s">
        <v>39</v>
      </c>
      <c r="M436">
        <v>3</v>
      </c>
      <c r="N436" t="s">
        <v>1064</v>
      </c>
      <c r="O436" t="s">
        <v>1076</v>
      </c>
    </row>
    <row r="437" spans="1:15" x14ac:dyDescent="0.25">
      <c r="A437" t="s">
        <v>935</v>
      </c>
      <c r="B437" t="s">
        <v>6</v>
      </c>
      <c r="C437" t="s">
        <v>91</v>
      </c>
      <c r="D437" t="s">
        <v>23</v>
      </c>
      <c r="E437">
        <v>44</v>
      </c>
      <c r="F437" t="s">
        <v>142</v>
      </c>
      <c r="G437" t="s">
        <v>100</v>
      </c>
      <c r="H437">
        <v>50576.5</v>
      </c>
      <c r="I437" s="6">
        <v>45035</v>
      </c>
      <c r="J437">
        <v>3</v>
      </c>
      <c r="K437" t="s">
        <v>936</v>
      </c>
      <c r="L437" t="s">
        <v>28</v>
      </c>
      <c r="M437">
        <v>3</v>
      </c>
      <c r="N437" t="s">
        <v>1062</v>
      </c>
      <c r="O437" t="s">
        <v>1077</v>
      </c>
    </row>
    <row r="438" spans="1:15" x14ac:dyDescent="0.25">
      <c r="A438" t="s">
        <v>937</v>
      </c>
      <c r="B438" t="s">
        <v>316</v>
      </c>
      <c r="C438" t="s">
        <v>83</v>
      </c>
      <c r="D438" t="s">
        <v>8</v>
      </c>
      <c r="E438">
        <v>37</v>
      </c>
      <c r="F438" t="s">
        <v>295</v>
      </c>
      <c r="G438" t="s">
        <v>2</v>
      </c>
      <c r="H438">
        <v>110331</v>
      </c>
      <c r="I438" s="6">
        <v>44240</v>
      </c>
      <c r="J438">
        <v>5</v>
      </c>
      <c r="K438" t="s">
        <v>938</v>
      </c>
      <c r="L438" t="s">
        <v>39</v>
      </c>
      <c r="M438">
        <v>3</v>
      </c>
      <c r="N438" t="s">
        <v>1061</v>
      </c>
      <c r="O438" t="s">
        <v>1074</v>
      </c>
    </row>
    <row r="439" spans="1:15" x14ac:dyDescent="0.25">
      <c r="A439" t="s">
        <v>939</v>
      </c>
      <c r="B439" t="s">
        <v>132</v>
      </c>
      <c r="C439" t="s">
        <v>222</v>
      </c>
      <c r="D439" t="s">
        <v>1</v>
      </c>
      <c r="E439">
        <v>49</v>
      </c>
      <c r="F439" t="s">
        <v>32</v>
      </c>
      <c r="G439" t="s">
        <v>17</v>
      </c>
      <c r="H439">
        <v>82390.52</v>
      </c>
      <c r="I439" s="6">
        <v>44280</v>
      </c>
      <c r="J439">
        <v>5</v>
      </c>
      <c r="K439" t="s">
        <v>906</v>
      </c>
      <c r="L439" t="s">
        <v>14</v>
      </c>
      <c r="M439">
        <v>3</v>
      </c>
      <c r="N439" t="s">
        <v>1063</v>
      </c>
      <c r="O439" t="s">
        <v>1077</v>
      </c>
    </row>
    <row r="440" spans="1:15" x14ac:dyDescent="0.25">
      <c r="A440" t="s">
        <v>940</v>
      </c>
      <c r="B440" t="s">
        <v>633</v>
      </c>
      <c r="C440" t="s">
        <v>118</v>
      </c>
      <c r="D440" t="s">
        <v>1</v>
      </c>
      <c r="E440">
        <v>47</v>
      </c>
      <c r="F440" t="s">
        <v>142</v>
      </c>
      <c r="G440" t="s">
        <v>100</v>
      </c>
      <c r="H440">
        <v>49525</v>
      </c>
      <c r="I440" s="6">
        <v>38844</v>
      </c>
      <c r="J440">
        <v>20</v>
      </c>
      <c r="K440" t="s">
        <v>941</v>
      </c>
      <c r="L440" t="s">
        <v>49</v>
      </c>
      <c r="M440">
        <v>5</v>
      </c>
      <c r="N440" t="s">
        <v>1063</v>
      </c>
      <c r="O440" t="s">
        <v>1076</v>
      </c>
    </row>
    <row r="441" spans="1:15" x14ac:dyDescent="0.25">
      <c r="A441" t="s">
        <v>942</v>
      </c>
      <c r="B441" t="s">
        <v>374</v>
      </c>
      <c r="C441" t="s">
        <v>104</v>
      </c>
      <c r="D441" t="s">
        <v>1</v>
      </c>
      <c r="E441">
        <v>31</v>
      </c>
      <c r="F441" t="s">
        <v>32</v>
      </c>
      <c r="G441" t="s">
        <v>44</v>
      </c>
      <c r="H441">
        <v>65126</v>
      </c>
      <c r="I441" s="6">
        <v>45429</v>
      </c>
      <c r="J441">
        <v>2</v>
      </c>
      <c r="K441" t="s">
        <v>943</v>
      </c>
      <c r="L441" t="s">
        <v>39</v>
      </c>
      <c r="M441">
        <v>3</v>
      </c>
      <c r="N441" t="s">
        <v>1060</v>
      </c>
      <c r="O441" t="s">
        <v>1077</v>
      </c>
    </row>
    <row r="442" spans="1:15" x14ac:dyDescent="0.25">
      <c r="A442" t="s">
        <v>944</v>
      </c>
      <c r="B442" t="s">
        <v>714</v>
      </c>
      <c r="C442" t="s">
        <v>104</v>
      </c>
      <c r="D442" t="s">
        <v>23</v>
      </c>
      <c r="E442">
        <v>38</v>
      </c>
      <c r="F442" t="s">
        <v>154</v>
      </c>
      <c r="G442" t="s">
        <v>17</v>
      </c>
      <c r="H442">
        <v>40359</v>
      </c>
      <c r="I442" s="6">
        <v>41308</v>
      </c>
      <c r="J442">
        <v>13</v>
      </c>
      <c r="K442" t="s">
        <v>510</v>
      </c>
      <c r="L442" t="s">
        <v>65</v>
      </c>
      <c r="M442">
        <v>3</v>
      </c>
      <c r="N442" t="s">
        <v>1061</v>
      </c>
      <c r="O442" t="s">
        <v>1076</v>
      </c>
    </row>
    <row r="443" spans="1:15" x14ac:dyDescent="0.25">
      <c r="A443" t="s">
        <v>945</v>
      </c>
      <c r="B443" t="s">
        <v>229</v>
      </c>
      <c r="C443" t="s">
        <v>118</v>
      </c>
      <c r="D443" t="s">
        <v>1</v>
      </c>
      <c r="E443">
        <v>45</v>
      </c>
      <c r="F443" t="s">
        <v>203</v>
      </c>
      <c r="G443" t="s">
        <v>100</v>
      </c>
      <c r="H443">
        <v>44257</v>
      </c>
      <c r="I443" s="6">
        <v>42728</v>
      </c>
      <c r="J443">
        <v>9</v>
      </c>
      <c r="K443" t="s">
        <v>946</v>
      </c>
      <c r="L443" t="s">
        <v>28</v>
      </c>
      <c r="M443">
        <v>5</v>
      </c>
      <c r="N443" t="s">
        <v>1062</v>
      </c>
      <c r="O443" t="s">
        <v>1076</v>
      </c>
    </row>
    <row r="444" spans="1:15" x14ac:dyDescent="0.25">
      <c r="A444" t="s">
        <v>947</v>
      </c>
      <c r="B444" t="s">
        <v>401</v>
      </c>
      <c r="C444" t="s">
        <v>68</v>
      </c>
      <c r="D444" t="s">
        <v>8</v>
      </c>
      <c r="E444">
        <v>37</v>
      </c>
      <c r="F444" t="s">
        <v>154</v>
      </c>
      <c r="G444" t="s">
        <v>17</v>
      </c>
      <c r="H444">
        <v>42310</v>
      </c>
      <c r="I444" s="6">
        <v>41391</v>
      </c>
      <c r="J444">
        <v>13</v>
      </c>
      <c r="K444" t="s">
        <v>948</v>
      </c>
      <c r="L444" t="s">
        <v>39</v>
      </c>
      <c r="M444">
        <v>4</v>
      </c>
      <c r="N444" t="s">
        <v>1061</v>
      </c>
      <c r="O444" t="s">
        <v>1076</v>
      </c>
    </row>
    <row r="445" spans="1:15" x14ac:dyDescent="0.25">
      <c r="A445" t="s">
        <v>949</v>
      </c>
      <c r="B445" t="s">
        <v>184</v>
      </c>
      <c r="C445" t="s">
        <v>104</v>
      </c>
      <c r="D445" t="s">
        <v>1</v>
      </c>
      <c r="E445">
        <v>29</v>
      </c>
      <c r="F445" t="s">
        <v>1066</v>
      </c>
      <c r="G445" t="s">
        <v>44</v>
      </c>
      <c r="H445">
        <v>80030</v>
      </c>
      <c r="I445" s="6">
        <v>44440</v>
      </c>
      <c r="J445">
        <v>5</v>
      </c>
      <c r="K445" t="s">
        <v>950</v>
      </c>
      <c r="L445" t="s">
        <v>207</v>
      </c>
      <c r="M445">
        <v>3</v>
      </c>
      <c r="N445" t="s">
        <v>1075</v>
      </c>
      <c r="O445" t="s">
        <v>1077</v>
      </c>
    </row>
    <row r="446" spans="1:15" x14ac:dyDescent="0.25">
      <c r="A446" t="s">
        <v>951</v>
      </c>
      <c r="B446" t="s">
        <v>514</v>
      </c>
      <c r="C446" t="s">
        <v>291</v>
      </c>
      <c r="D446" t="s">
        <v>1</v>
      </c>
      <c r="E446">
        <v>60</v>
      </c>
      <c r="F446" t="s">
        <v>313</v>
      </c>
      <c r="G446" t="s">
        <v>37</v>
      </c>
      <c r="H446">
        <v>98956</v>
      </c>
      <c r="I446" s="6">
        <v>38576</v>
      </c>
      <c r="J446">
        <v>21</v>
      </c>
      <c r="K446" t="s">
        <v>952</v>
      </c>
      <c r="L446" t="s">
        <v>4</v>
      </c>
      <c r="M446">
        <v>2</v>
      </c>
      <c r="N446" t="s">
        <v>1065</v>
      </c>
      <c r="O446" t="s">
        <v>1077</v>
      </c>
    </row>
    <row r="447" spans="1:15" x14ac:dyDescent="0.25">
      <c r="A447" t="s">
        <v>953</v>
      </c>
      <c r="B447" t="s">
        <v>476</v>
      </c>
      <c r="C447" t="s">
        <v>962</v>
      </c>
      <c r="D447" t="s">
        <v>1</v>
      </c>
      <c r="E447">
        <v>37</v>
      </c>
      <c r="F447" t="s">
        <v>133</v>
      </c>
      <c r="G447" t="s">
        <v>44</v>
      </c>
      <c r="H447">
        <v>63034</v>
      </c>
      <c r="I447" s="6">
        <v>44216</v>
      </c>
      <c r="J447">
        <v>5</v>
      </c>
      <c r="K447" t="s">
        <v>550</v>
      </c>
      <c r="L447" t="s">
        <v>65</v>
      </c>
      <c r="M447">
        <v>4</v>
      </c>
      <c r="N447" t="s">
        <v>1061</v>
      </c>
      <c r="O447" t="s">
        <v>1077</v>
      </c>
    </row>
    <row r="448" spans="1:15" x14ac:dyDescent="0.25">
      <c r="A448" t="s">
        <v>954</v>
      </c>
      <c r="B448" t="s">
        <v>514</v>
      </c>
      <c r="C448" t="s">
        <v>215</v>
      </c>
      <c r="D448" t="s">
        <v>23</v>
      </c>
      <c r="E448">
        <v>28</v>
      </c>
      <c r="F448" t="s">
        <v>142</v>
      </c>
      <c r="G448" t="s">
        <v>63</v>
      </c>
      <c r="H448">
        <v>60436.13</v>
      </c>
      <c r="I448" s="6">
        <v>45510</v>
      </c>
      <c r="J448">
        <v>2</v>
      </c>
      <c r="K448" t="s">
        <v>955</v>
      </c>
      <c r="L448" t="s">
        <v>28</v>
      </c>
      <c r="M448">
        <v>3</v>
      </c>
      <c r="N448" t="s">
        <v>1075</v>
      </c>
      <c r="O448" t="s">
        <v>1077</v>
      </c>
    </row>
    <row r="449" spans="1:15" x14ac:dyDescent="0.25">
      <c r="A449" t="s">
        <v>956</v>
      </c>
      <c r="B449" t="s">
        <v>514</v>
      </c>
      <c r="C449" t="s">
        <v>91</v>
      </c>
      <c r="D449" t="s">
        <v>8</v>
      </c>
      <c r="E449">
        <v>31</v>
      </c>
      <c r="F449" t="s">
        <v>181</v>
      </c>
      <c r="G449" t="s">
        <v>44</v>
      </c>
      <c r="H449">
        <v>47361</v>
      </c>
      <c r="I449" s="6">
        <v>44459</v>
      </c>
      <c r="J449">
        <v>5</v>
      </c>
      <c r="K449" t="s">
        <v>349</v>
      </c>
      <c r="L449" t="s">
        <v>54</v>
      </c>
      <c r="M449">
        <v>4</v>
      </c>
      <c r="N449" t="s">
        <v>1060</v>
      </c>
      <c r="O449" t="s">
        <v>1076</v>
      </c>
    </row>
    <row r="450" spans="1:15" x14ac:dyDescent="0.25">
      <c r="A450" t="s">
        <v>957</v>
      </c>
      <c r="B450" t="s">
        <v>184</v>
      </c>
      <c r="C450" t="s">
        <v>427</v>
      </c>
      <c r="D450" t="s">
        <v>23</v>
      </c>
      <c r="E450">
        <v>56</v>
      </c>
      <c r="F450" t="s">
        <v>142</v>
      </c>
      <c r="G450" t="s">
        <v>100</v>
      </c>
      <c r="H450">
        <v>50576.5</v>
      </c>
      <c r="I450" s="6">
        <v>39040</v>
      </c>
      <c r="J450">
        <v>19</v>
      </c>
      <c r="K450" t="s">
        <v>185</v>
      </c>
      <c r="L450" t="s">
        <v>65</v>
      </c>
      <c r="M450">
        <v>3</v>
      </c>
      <c r="N450" t="s">
        <v>1065</v>
      </c>
      <c r="O450" t="s">
        <v>1077</v>
      </c>
    </row>
    <row r="451" spans="1:15" x14ac:dyDescent="0.25">
      <c r="A451" t="s">
        <v>958</v>
      </c>
      <c r="B451" t="s">
        <v>378</v>
      </c>
      <c r="C451" t="s">
        <v>291</v>
      </c>
      <c r="D451" t="s">
        <v>23</v>
      </c>
      <c r="E451">
        <v>37</v>
      </c>
      <c r="F451" t="s">
        <v>154</v>
      </c>
      <c r="G451" t="s">
        <v>37</v>
      </c>
      <c r="H451">
        <v>54674</v>
      </c>
      <c r="I451" s="6">
        <v>45330</v>
      </c>
      <c r="J451">
        <v>2</v>
      </c>
      <c r="K451" t="s">
        <v>959</v>
      </c>
      <c r="L451" t="s">
        <v>19</v>
      </c>
      <c r="M451">
        <v>4</v>
      </c>
      <c r="N451" t="s">
        <v>1061</v>
      </c>
      <c r="O451" t="s">
        <v>1077</v>
      </c>
    </row>
    <row r="452" spans="1:15" x14ac:dyDescent="0.25">
      <c r="A452" t="s">
        <v>960</v>
      </c>
      <c r="B452" t="s">
        <v>87</v>
      </c>
      <c r="C452" t="s">
        <v>351</v>
      </c>
      <c r="D452" t="s">
        <v>23</v>
      </c>
      <c r="E452">
        <v>35</v>
      </c>
      <c r="F452" t="s">
        <v>32</v>
      </c>
      <c r="G452" t="s">
        <v>63</v>
      </c>
      <c r="H452">
        <v>81505</v>
      </c>
      <c r="I452" s="6">
        <v>42828</v>
      </c>
      <c r="J452">
        <v>9</v>
      </c>
      <c r="K452" t="s">
        <v>51</v>
      </c>
      <c r="L452" t="s">
        <v>107</v>
      </c>
      <c r="M452">
        <v>2</v>
      </c>
      <c r="N452" t="s">
        <v>1060</v>
      </c>
      <c r="O452" t="s">
        <v>1077</v>
      </c>
    </row>
    <row r="453" spans="1:15" x14ac:dyDescent="0.25">
      <c r="A453" t="s">
        <v>961</v>
      </c>
      <c r="B453" t="s">
        <v>334</v>
      </c>
      <c r="C453" t="s">
        <v>962</v>
      </c>
      <c r="D453" t="s">
        <v>8</v>
      </c>
      <c r="E453">
        <v>42</v>
      </c>
      <c r="F453" t="s">
        <v>313</v>
      </c>
      <c r="G453" t="s">
        <v>2</v>
      </c>
      <c r="H453">
        <v>113306</v>
      </c>
      <c r="I453" s="6">
        <v>43559</v>
      </c>
      <c r="J453">
        <v>7</v>
      </c>
      <c r="K453" t="s">
        <v>963</v>
      </c>
      <c r="L453" t="s">
        <v>85</v>
      </c>
      <c r="M453">
        <v>3</v>
      </c>
      <c r="N453" t="s">
        <v>1062</v>
      </c>
      <c r="O453" t="s">
        <v>1074</v>
      </c>
    </row>
    <row r="454" spans="1:15" x14ac:dyDescent="0.25">
      <c r="A454" t="s">
        <v>964</v>
      </c>
      <c r="B454" t="s">
        <v>132</v>
      </c>
      <c r="C454" t="s">
        <v>562</v>
      </c>
      <c r="D454" t="s">
        <v>1</v>
      </c>
      <c r="E454">
        <v>49</v>
      </c>
      <c r="F454" t="s">
        <v>36</v>
      </c>
      <c r="G454" t="s">
        <v>44</v>
      </c>
      <c r="H454">
        <v>80749</v>
      </c>
      <c r="I454" s="6">
        <v>39468</v>
      </c>
      <c r="J454">
        <v>18</v>
      </c>
      <c r="K454" t="s">
        <v>965</v>
      </c>
      <c r="L454" t="s">
        <v>14</v>
      </c>
      <c r="M454">
        <v>1</v>
      </c>
      <c r="N454" t="s">
        <v>1063</v>
      </c>
      <c r="O454" t="s">
        <v>1077</v>
      </c>
    </row>
    <row r="455" spans="1:15" x14ac:dyDescent="0.25">
      <c r="A455" t="s">
        <v>966</v>
      </c>
      <c r="B455" t="s">
        <v>132</v>
      </c>
      <c r="C455" t="s">
        <v>141</v>
      </c>
      <c r="D455" t="s">
        <v>23</v>
      </c>
      <c r="E455">
        <v>39</v>
      </c>
      <c r="F455" t="s">
        <v>142</v>
      </c>
      <c r="G455" t="s">
        <v>105</v>
      </c>
      <c r="H455">
        <v>92766</v>
      </c>
      <c r="I455" s="6">
        <v>42643</v>
      </c>
      <c r="J455">
        <v>10</v>
      </c>
      <c r="K455" t="s">
        <v>967</v>
      </c>
      <c r="L455" t="s">
        <v>107</v>
      </c>
      <c r="M455">
        <v>4</v>
      </c>
      <c r="N455" t="s">
        <v>1061</v>
      </c>
      <c r="O455" t="s">
        <v>1077</v>
      </c>
    </row>
    <row r="456" spans="1:15" x14ac:dyDescent="0.25">
      <c r="A456" t="s">
        <v>968</v>
      </c>
      <c r="B456" t="s">
        <v>43</v>
      </c>
      <c r="C456" t="s">
        <v>222</v>
      </c>
      <c r="D456" t="s">
        <v>8</v>
      </c>
      <c r="E456">
        <v>41</v>
      </c>
      <c r="F456" t="s">
        <v>142</v>
      </c>
      <c r="G456" t="s">
        <v>17</v>
      </c>
      <c r="H456">
        <v>53166.62</v>
      </c>
      <c r="I456" s="6">
        <v>44142</v>
      </c>
      <c r="J456">
        <v>5</v>
      </c>
      <c r="K456" t="s">
        <v>425</v>
      </c>
      <c r="L456" t="s">
        <v>25</v>
      </c>
      <c r="M456">
        <v>4</v>
      </c>
      <c r="N456" t="s">
        <v>1062</v>
      </c>
      <c r="O456" t="s">
        <v>1077</v>
      </c>
    </row>
    <row r="457" spans="1:15" x14ac:dyDescent="0.25">
      <c r="A457" t="s">
        <v>969</v>
      </c>
      <c r="B457" t="s">
        <v>132</v>
      </c>
      <c r="C457" t="s">
        <v>351</v>
      </c>
      <c r="D457" t="s">
        <v>1</v>
      </c>
      <c r="E457">
        <v>43</v>
      </c>
      <c r="F457" t="s">
        <v>154</v>
      </c>
      <c r="G457" t="s">
        <v>44</v>
      </c>
      <c r="H457">
        <v>44379</v>
      </c>
      <c r="I457" s="6">
        <v>41767</v>
      </c>
      <c r="J457">
        <v>12</v>
      </c>
      <c r="K457" t="s">
        <v>970</v>
      </c>
      <c r="L457" t="s">
        <v>54</v>
      </c>
      <c r="M457">
        <v>3</v>
      </c>
      <c r="N457" t="s">
        <v>1062</v>
      </c>
      <c r="O457" t="s">
        <v>1076</v>
      </c>
    </row>
    <row r="458" spans="1:15" x14ac:dyDescent="0.25">
      <c r="A458" t="s">
        <v>971</v>
      </c>
      <c r="B458" t="s">
        <v>221</v>
      </c>
      <c r="C458" t="s">
        <v>118</v>
      </c>
      <c r="D458" t="s">
        <v>23</v>
      </c>
      <c r="E458">
        <v>33</v>
      </c>
      <c r="F458" t="s">
        <v>36</v>
      </c>
      <c r="G458" t="s">
        <v>2</v>
      </c>
      <c r="H458">
        <v>144721</v>
      </c>
      <c r="I458" s="6">
        <v>43390</v>
      </c>
      <c r="J458">
        <v>7</v>
      </c>
      <c r="K458" t="s">
        <v>972</v>
      </c>
      <c r="L458" t="s">
        <v>65</v>
      </c>
      <c r="M458">
        <v>3</v>
      </c>
      <c r="N458" t="s">
        <v>1060</v>
      </c>
      <c r="O458" t="s">
        <v>1074</v>
      </c>
    </row>
    <row r="459" spans="1:15" x14ac:dyDescent="0.25">
      <c r="A459" t="s">
        <v>973</v>
      </c>
      <c r="B459" t="s">
        <v>232</v>
      </c>
      <c r="C459" t="s">
        <v>427</v>
      </c>
      <c r="D459" t="s">
        <v>8</v>
      </c>
      <c r="E459">
        <v>41</v>
      </c>
      <c r="F459" t="s">
        <v>9</v>
      </c>
      <c r="G459" t="s">
        <v>44</v>
      </c>
      <c r="H459">
        <v>75470</v>
      </c>
      <c r="I459" s="6">
        <v>40995</v>
      </c>
      <c r="J459">
        <v>14</v>
      </c>
      <c r="K459" t="s">
        <v>974</v>
      </c>
      <c r="L459" t="s">
        <v>85</v>
      </c>
      <c r="M459">
        <v>5</v>
      </c>
      <c r="N459" t="s">
        <v>1062</v>
      </c>
      <c r="O459" t="s">
        <v>1077</v>
      </c>
    </row>
    <row r="460" spans="1:15" x14ac:dyDescent="0.25">
      <c r="A460" t="s">
        <v>975</v>
      </c>
      <c r="B460" t="s">
        <v>316</v>
      </c>
      <c r="C460" t="s">
        <v>7</v>
      </c>
      <c r="D460" t="s">
        <v>1</v>
      </c>
      <c r="E460">
        <v>31</v>
      </c>
      <c r="F460" t="s">
        <v>32</v>
      </c>
      <c r="G460" t="s">
        <v>17</v>
      </c>
      <c r="H460">
        <v>76276.13</v>
      </c>
      <c r="I460" s="6">
        <v>42423</v>
      </c>
      <c r="J460">
        <v>10</v>
      </c>
      <c r="K460" t="s">
        <v>976</v>
      </c>
      <c r="L460" t="s">
        <v>11</v>
      </c>
      <c r="M460">
        <v>3</v>
      </c>
      <c r="N460" t="s">
        <v>1060</v>
      </c>
      <c r="O460" t="s">
        <v>1077</v>
      </c>
    </row>
    <row r="461" spans="1:15" x14ac:dyDescent="0.25">
      <c r="A461" t="s">
        <v>977</v>
      </c>
      <c r="B461" t="s">
        <v>16</v>
      </c>
      <c r="C461" t="s">
        <v>169</v>
      </c>
      <c r="D461" t="s">
        <v>23</v>
      </c>
      <c r="E461">
        <v>48</v>
      </c>
      <c r="F461" t="s">
        <v>1066</v>
      </c>
      <c r="G461" t="s">
        <v>100</v>
      </c>
      <c r="H461">
        <v>62827.05</v>
      </c>
      <c r="I461" s="6">
        <v>40812</v>
      </c>
      <c r="J461">
        <v>15</v>
      </c>
      <c r="K461" t="s">
        <v>280</v>
      </c>
      <c r="L461" t="s">
        <v>107</v>
      </c>
      <c r="M461">
        <v>3</v>
      </c>
      <c r="N461" t="s">
        <v>1063</v>
      </c>
      <c r="O461" t="s">
        <v>1077</v>
      </c>
    </row>
    <row r="462" spans="1:15" x14ac:dyDescent="0.25">
      <c r="A462" t="s">
        <v>978</v>
      </c>
      <c r="B462" t="s">
        <v>99</v>
      </c>
      <c r="C462" t="s">
        <v>68</v>
      </c>
      <c r="D462" t="s">
        <v>8</v>
      </c>
      <c r="E462">
        <v>30</v>
      </c>
      <c r="F462" t="s">
        <v>32</v>
      </c>
      <c r="G462" t="s">
        <v>17</v>
      </c>
      <c r="H462">
        <v>77026</v>
      </c>
      <c r="I462" s="6">
        <v>42790</v>
      </c>
      <c r="J462">
        <v>9</v>
      </c>
      <c r="K462" t="s">
        <v>979</v>
      </c>
      <c r="L462" t="s">
        <v>120</v>
      </c>
      <c r="M462">
        <v>5</v>
      </c>
      <c r="N462" t="s">
        <v>1075</v>
      </c>
      <c r="O462" t="s">
        <v>1077</v>
      </c>
    </row>
    <row r="463" spans="1:15" x14ac:dyDescent="0.25">
      <c r="A463" t="s">
        <v>980</v>
      </c>
      <c r="B463" t="s">
        <v>530</v>
      </c>
      <c r="C463" t="s">
        <v>22</v>
      </c>
      <c r="D463" t="s">
        <v>1</v>
      </c>
      <c r="E463">
        <v>31</v>
      </c>
      <c r="F463" t="s">
        <v>142</v>
      </c>
      <c r="G463" t="s">
        <v>63</v>
      </c>
      <c r="H463">
        <v>59871</v>
      </c>
      <c r="I463" s="6">
        <v>45112</v>
      </c>
      <c r="J463">
        <v>3</v>
      </c>
      <c r="K463" t="s">
        <v>981</v>
      </c>
      <c r="L463" t="s">
        <v>65</v>
      </c>
      <c r="M463">
        <v>3</v>
      </c>
      <c r="N463" t="s">
        <v>1060</v>
      </c>
      <c r="O463" t="s">
        <v>1077</v>
      </c>
    </row>
    <row r="464" spans="1:15" x14ac:dyDescent="0.25">
      <c r="A464" t="s">
        <v>982</v>
      </c>
      <c r="B464" t="s">
        <v>316</v>
      </c>
      <c r="C464" t="s">
        <v>269</v>
      </c>
      <c r="D464" t="s">
        <v>1</v>
      </c>
      <c r="E464">
        <v>41</v>
      </c>
      <c r="F464" t="s">
        <v>203</v>
      </c>
      <c r="G464" t="s">
        <v>37</v>
      </c>
      <c r="H464">
        <v>60128</v>
      </c>
      <c r="I464" s="6"/>
      <c r="K464" t="s">
        <v>983</v>
      </c>
      <c r="L464" t="s">
        <v>14</v>
      </c>
      <c r="M464">
        <v>4</v>
      </c>
      <c r="N464" t="s">
        <v>1062</v>
      </c>
      <c r="O464" t="s">
        <v>1077</v>
      </c>
    </row>
    <row r="465" spans="1:15" x14ac:dyDescent="0.25">
      <c r="A465" t="s">
        <v>984</v>
      </c>
      <c r="B465" t="s">
        <v>115</v>
      </c>
      <c r="C465" t="s">
        <v>351</v>
      </c>
      <c r="D465" t="s">
        <v>23</v>
      </c>
      <c r="E465">
        <v>42</v>
      </c>
      <c r="F465" t="s">
        <v>313</v>
      </c>
      <c r="G465" t="s">
        <v>100</v>
      </c>
      <c r="H465">
        <v>81356</v>
      </c>
      <c r="I465" s="6">
        <v>41745</v>
      </c>
      <c r="J465">
        <v>12</v>
      </c>
      <c r="K465" t="s">
        <v>985</v>
      </c>
      <c r="L465" t="s">
        <v>85</v>
      </c>
      <c r="M465">
        <v>3</v>
      </c>
      <c r="N465" t="s">
        <v>1062</v>
      </c>
      <c r="O465" t="s">
        <v>1077</v>
      </c>
    </row>
    <row r="466" spans="1:15" x14ac:dyDescent="0.25">
      <c r="A466" t="s">
        <v>986</v>
      </c>
      <c r="B466" t="s">
        <v>530</v>
      </c>
      <c r="C466" t="s">
        <v>215</v>
      </c>
      <c r="D466" t="s">
        <v>1</v>
      </c>
      <c r="E466">
        <v>46</v>
      </c>
      <c r="F466" t="s">
        <v>9</v>
      </c>
      <c r="G466" t="s">
        <v>2</v>
      </c>
      <c r="H466">
        <v>107866</v>
      </c>
      <c r="I466" s="6">
        <v>44172</v>
      </c>
      <c r="J466">
        <v>5</v>
      </c>
      <c r="K466" t="s">
        <v>987</v>
      </c>
      <c r="L466" t="s">
        <v>85</v>
      </c>
      <c r="M466">
        <v>3</v>
      </c>
      <c r="N466" t="s">
        <v>1063</v>
      </c>
      <c r="O466" t="s">
        <v>1074</v>
      </c>
    </row>
    <row r="467" spans="1:15" x14ac:dyDescent="0.25">
      <c r="A467" t="s">
        <v>988</v>
      </c>
      <c r="B467" t="s">
        <v>232</v>
      </c>
      <c r="C467" t="s">
        <v>485</v>
      </c>
      <c r="D467" t="s">
        <v>1</v>
      </c>
      <c r="E467">
        <v>48</v>
      </c>
      <c r="F467" t="s">
        <v>154</v>
      </c>
      <c r="G467" t="s">
        <v>2</v>
      </c>
      <c r="H467">
        <v>59638.98</v>
      </c>
      <c r="I467" s="6">
        <v>39405</v>
      </c>
      <c r="J467">
        <v>18</v>
      </c>
      <c r="K467" t="s">
        <v>989</v>
      </c>
      <c r="L467" t="s">
        <v>49</v>
      </c>
      <c r="M467">
        <v>4</v>
      </c>
      <c r="N467" t="s">
        <v>1063</v>
      </c>
      <c r="O467" t="s">
        <v>1077</v>
      </c>
    </row>
    <row r="468" spans="1:15" x14ac:dyDescent="0.25">
      <c r="A468" t="s">
        <v>990</v>
      </c>
      <c r="B468" t="s">
        <v>232</v>
      </c>
      <c r="C468" t="s">
        <v>962</v>
      </c>
      <c r="D468" t="s">
        <v>1</v>
      </c>
      <c r="E468">
        <v>39</v>
      </c>
      <c r="F468" t="s">
        <v>181</v>
      </c>
      <c r="G468" t="s">
        <v>105</v>
      </c>
      <c r="H468">
        <v>86678</v>
      </c>
      <c r="I468" s="6">
        <v>40351</v>
      </c>
      <c r="J468">
        <v>16</v>
      </c>
      <c r="K468" t="s">
        <v>432</v>
      </c>
      <c r="L468" t="s">
        <v>54</v>
      </c>
      <c r="M468">
        <v>5</v>
      </c>
      <c r="N468" t="s">
        <v>1061</v>
      </c>
      <c r="O468" t="s">
        <v>1077</v>
      </c>
    </row>
    <row r="469" spans="1:15" x14ac:dyDescent="0.25">
      <c r="A469" t="s">
        <v>991</v>
      </c>
      <c r="B469" t="s">
        <v>514</v>
      </c>
      <c r="C469" t="s">
        <v>427</v>
      </c>
      <c r="D469" t="s">
        <v>8</v>
      </c>
      <c r="E469">
        <v>39</v>
      </c>
      <c r="F469" t="s">
        <v>154</v>
      </c>
      <c r="G469" t="s">
        <v>17</v>
      </c>
      <c r="H469">
        <v>45047</v>
      </c>
      <c r="I469" s="6">
        <v>39587</v>
      </c>
      <c r="J469">
        <v>18</v>
      </c>
      <c r="K469" t="s">
        <v>992</v>
      </c>
      <c r="L469" t="s">
        <v>28</v>
      </c>
      <c r="M469">
        <v>4</v>
      </c>
      <c r="N469" t="s">
        <v>1061</v>
      </c>
      <c r="O469" t="s">
        <v>1076</v>
      </c>
    </row>
    <row r="470" spans="1:15" x14ac:dyDescent="0.25">
      <c r="A470" t="s">
        <v>993</v>
      </c>
      <c r="B470" t="s">
        <v>6</v>
      </c>
      <c r="C470" t="s">
        <v>80</v>
      </c>
      <c r="D470" t="s">
        <v>8</v>
      </c>
      <c r="E470">
        <v>51</v>
      </c>
      <c r="F470" t="s">
        <v>32</v>
      </c>
      <c r="G470" t="s">
        <v>161</v>
      </c>
      <c r="H470">
        <v>161135</v>
      </c>
      <c r="I470" s="6">
        <v>38389</v>
      </c>
      <c r="J470">
        <v>21</v>
      </c>
      <c r="K470" t="s">
        <v>994</v>
      </c>
      <c r="L470" t="s">
        <v>65</v>
      </c>
      <c r="M470">
        <v>3</v>
      </c>
      <c r="N470" t="s">
        <v>1064</v>
      </c>
      <c r="O470" t="s">
        <v>1078</v>
      </c>
    </row>
    <row r="471" spans="1:15" x14ac:dyDescent="0.25">
      <c r="A471" t="s">
        <v>995</v>
      </c>
      <c r="B471" t="s">
        <v>321</v>
      </c>
      <c r="C471" t="s">
        <v>799</v>
      </c>
      <c r="D471" t="s">
        <v>8</v>
      </c>
      <c r="E471">
        <v>41</v>
      </c>
      <c r="F471" t="s">
        <v>181</v>
      </c>
      <c r="G471" t="s">
        <v>37</v>
      </c>
      <c r="H471">
        <v>58975.33</v>
      </c>
      <c r="I471" s="6">
        <v>42840</v>
      </c>
      <c r="J471">
        <v>9</v>
      </c>
      <c r="K471" t="s">
        <v>996</v>
      </c>
      <c r="L471" t="s">
        <v>11</v>
      </c>
      <c r="M471">
        <v>3</v>
      </c>
      <c r="N471" t="s">
        <v>1062</v>
      </c>
      <c r="O471" t="s">
        <v>1077</v>
      </c>
    </row>
    <row r="472" spans="1:15" x14ac:dyDescent="0.25">
      <c r="A472" t="s">
        <v>997</v>
      </c>
      <c r="B472" t="s">
        <v>73</v>
      </c>
      <c r="C472" t="s">
        <v>68</v>
      </c>
      <c r="D472" t="s">
        <v>8</v>
      </c>
      <c r="E472">
        <v>42</v>
      </c>
      <c r="F472" t="s">
        <v>36</v>
      </c>
      <c r="G472" t="s">
        <v>44</v>
      </c>
      <c r="H472">
        <v>91170</v>
      </c>
      <c r="I472" s="6">
        <v>38812</v>
      </c>
      <c r="J472">
        <v>20</v>
      </c>
      <c r="K472" t="s">
        <v>998</v>
      </c>
      <c r="L472" t="s">
        <v>39</v>
      </c>
      <c r="M472">
        <v>3</v>
      </c>
      <c r="N472" t="s">
        <v>1062</v>
      </c>
      <c r="O472" t="s">
        <v>1077</v>
      </c>
    </row>
    <row r="473" spans="1:15" x14ac:dyDescent="0.25">
      <c r="A473" t="s">
        <v>999</v>
      </c>
      <c r="B473" t="s">
        <v>476</v>
      </c>
      <c r="C473" t="s">
        <v>799</v>
      </c>
      <c r="D473" t="s">
        <v>1</v>
      </c>
      <c r="E473">
        <v>54</v>
      </c>
      <c r="F473" t="s">
        <v>295</v>
      </c>
      <c r="G473" t="s">
        <v>44</v>
      </c>
      <c r="H473">
        <v>65732</v>
      </c>
      <c r="I473" s="6">
        <v>40207</v>
      </c>
      <c r="J473">
        <v>16</v>
      </c>
      <c r="K473" t="s">
        <v>1000</v>
      </c>
      <c r="L473" t="s">
        <v>49</v>
      </c>
      <c r="M473">
        <v>3</v>
      </c>
      <c r="N473" t="s">
        <v>1064</v>
      </c>
      <c r="O473" t="s">
        <v>1077</v>
      </c>
    </row>
    <row r="474" spans="1:15" x14ac:dyDescent="0.25">
      <c r="A474" t="s">
        <v>1001</v>
      </c>
      <c r="B474" t="s">
        <v>184</v>
      </c>
      <c r="C474" t="s">
        <v>589</v>
      </c>
      <c r="D474" t="s">
        <v>1</v>
      </c>
      <c r="E474">
        <v>35</v>
      </c>
      <c r="F474" t="s">
        <v>32</v>
      </c>
      <c r="G474" t="s">
        <v>44</v>
      </c>
      <c r="H474">
        <v>75942</v>
      </c>
      <c r="I474" s="6">
        <v>42981</v>
      </c>
      <c r="J474">
        <v>9</v>
      </c>
      <c r="K474" t="s">
        <v>440</v>
      </c>
      <c r="L474" t="s">
        <v>19</v>
      </c>
      <c r="M474">
        <v>5</v>
      </c>
      <c r="N474" t="s">
        <v>1060</v>
      </c>
      <c r="O474" t="s">
        <v>1077</v>
      </c>
    </row>
    <row r="475" spans="1:15" x14ac:dyDescent="0.25">
      <c r="A475" t="s">
        <v>1002</v>
      </c>
      <c r="B475" t="s">
        <v>633</v>
      </c>
      <c r="C475" t="s">
        <v>589</v>
      </c>
      <c r="D475" t="s">
        <v>1</v>
      </c>
      <c r="E475">
        <v>48</v>
      </c>
      <c r="F475" t="s">
        <v>142</v>
      </c>
      <c r="G475" t="s">
        <v>44</v>
      </c>
      <c r="H475">
        <v>52018.05</v>
      </c>
      <c r="I475" s="6"/>
      <c r="K475" t="s">
        <v>1003</v>
      </c>
      <c r="L475" t="s">
        <v>19</v>
      </c>
      <c r="M475">
        <v>4</v>
      </c>
      <c r="N475" t="s">
        <v>1063</v>
      </c>
      <c r="O475" t="s">
        <v>1077</v>
      </c>
    </row>
    <row r="476" spans="1:15" x14ac:dyDescent="0.25">
      <c r="A476" t="s">
        <v>1004</v>
      </c>
      <c r="B476" t="s">
        <v>714</v>
      </c>
      <c r="C476" t="s">
        <v>124</v>
      </c>
      <c r="D476" t="s">
        <v>8</v>
      </c>
      <c r="E476">
        <v>48</v>
      </c>
      <c r="F476" t="s">
        <v>1066</v>
      </c>
      <c r="G476" t="s">
        <v>37</v>
      </c>
      <c r="H476">
        <v>58991</v>
      </c>
      <c r="I476" s="6">
        <v>39204</v>
      </c>
      <c r="J476">
        <v>19</v>
      </c>
      <c r="K476" t="s">
        <v>1005</v>
      </c>
      <c r="L476" t="s">
        <v>65</v>
      </c>
      <c r="M476">
        <v>4</v>
      </c>
      <c r="N476" t="s">
        <v>1063</v>
      </c>
      <c r="O476" t="s">
        <v>1077</v>
      </c>
    </row>
    <row r="477" spans="1:15" x14ac:dyDescent="0.25">
      <c r="A477" t="s">
        <v>1006</v>
      </c>
      <c r="B477" t="s">
        <v>127</v>
      </c>
      <c r="C477" t="s">
        <v>402</v>
      </c>
      <c r="D477" t="s">
        <v>1</v>
      </c>
      <c r="E477">
        <v>45</v>
      </c>
      <c r="F477" t="s">
        <v>9</v>
      </c>
      <c r="G477" t="s">
        <v>105</v>
      </c>
      <c r="H477">
        <v>133578</v>
      </c>
      <c r="I477" s="6">
        <v>42850</v>
      </c>
      <c r="J477">
        <v>9</v>
      </c>
      <c r="K477" t="s">
        <v>1007</v>
      </c>
      <c r="L477" t="s">
        <v>39</v>
      </c>
      <c r="M477">
        <v>2</v>
      </c>
      <c r="N477" t="s">
        <v>1062</v>
      </c>
      <c r="O477" t="s">
        <v>1074</v>
      </c>
    </row>
    <row r="478" spans="1:15" x14ac:dyDescent="0.25">
      <c r="A478" t="s">
        <v>1008</v>
      </c>
      <c r="B478" t="s">
        <v>530</v>
      </c>
      <c r="C478" t="s">
        <v>222</v>
      </c>
      <c r="D478" t="s">
        <v>1</v>
      </c>
      <c r="E478">
        <v>44</v>
      </c>
      <c r="F478" t="s">
        <v>133</v>
      </c>
      <c r="G478" t="s">
        <v>17</v>
      </c>
      <c r="H478">
        <v>60861</v>
      </c>
      <c r="I478" s="6">
        <v>41744</v>
      </c>
      <c r="J478">
        <v>12</v>
      </c>
      <c r="K478" t="s">
        <v>1009</v>
      </c>
      <c r="L478" t="s">
        <v>107</v>
      </c>
      <c r="M478">
        <v>3</v>
      </c>
      <c r="N478" t="s">
        <v>1062</v>
      </c>
      <c r="O478" t="s">
        <v>1077</v>
      </c>
    </row>
    <row r="479" spans="1:15" x14ac:dyDescent="0.25">
      <c r="A479" t="s">
        <v>1010</v>
      </c>
      <c r="B479" t="s">
        <v>290</v>
      </c>
      <c r="C479" t="s">
        <v>59</v>
      </c>
      <c r="D479" t="s">
        <v>8</v>
      </c>
      <c r="E479">
        <v>36</v>
      </c>
      <c r="F479" t="s">
        <v>9</v>
      </c>
      <c r="G479" t="s">
        <v>17</v>
      </c>
      <c r="H479">
        <v>97210.36</v>
      </c>
      <c r="I479" s="6">
        <v>40638</v>
      </c>
      <c r="J479">
        <v>15</v>
      </c>
      <c r="K479" t="s">
        <v>1011</v>
      </c>
      <c r="L479" t="s">
        <v>14</v>
      </c>
      <c r="M479">
        <v>4</v>
      </c>
      <c r="N479" t="s">
        <v>1061</v>
      </c>
      <c r="O479" t="s">
        <v>1077</v>
      </c>
    </row>
    <row r="480" spans="1:15" x14ac:dyDescent="0.25">
      <c r="A480" t="s">
        <v>1012</v>
      </c>
      <c r="B480" t="s">
        <v>43</v>
      </c>
      <c r="C480" t="s">
        <v>222</v>
      </c>
      <c r="D480" t="s">
        <v>23</v>
      </c>
      <c r="E480">
        <v>38</v>
      </c>
      <c r="F480" t="s">
        <v>154</v>
      </c>
      <c r="G480" t="s">
        <v>44</v>
      </c>
      <c r="H480">
        <v>44842</v>
      </c>
      <c r="I480" s="6">
        <v>41004</v>
      </c>
      <c r="J480">
        <v>14</v>
      </c>
      <c r="K480" t="s">
        <v>425</v>
      </c>
      <c r="L480" t="s">
        <v>11</v>
      </c>
      <c r="M480">
        <v>3</v>
      </c>
      <c r="N480" t="s">
        <v>1061</v>
      </c>
      <c r="O480" t="s">
        <v>1076</v>
      </c>
    </row>
    <row r="481" spans="1:15" x14ac:dyDescent="0.25">
      <c r="A481" t="s">
        <v>1013</v>
      </c>
      <c r="B481" t="s">
        <v>290</v>
      </c>
      <c r="C481" t="s">
        <v>452</v>
      </c>
      <c r="D481" t="s">
        <v>1</v>
      </c>
      <c r="E481">
        <v>37</v>
      </c>
      <c r="F481" t="s">
        <v>154</v>
      </c>
      <c r="G481" t="s">
        <v>2</v>
      </c>
      <c r="H481">
        <v>53897</v>
      </c>
      <c r="I481" s="6">
        <v>41782</v>
      </c>
      <c r="J481">
        <v>12</v>
      </c>
      <c r="K481" t="s">
        <v>1014</v>
      </c>
      <c r="L481" t="s">
        <v>14</v>
      </c>
      <c r="M481">
        <v>4</v>
      </c>
      <c r="N481" t="s">
        <v>1061</v>
      </c>
      <c r="O481" t="s">
        <v>1077</v>
      </c>
    </row>
    <row r="482" spans="1:15" x14ac:dyDescent="0.25">
      <c r="A482" t="s">
        <v>1015</v>
      </c>
      <c r="B482" t="s">
        <v>56</v>
      </c>
      <c r="C482" t="s">
        <v>589</v>
      </c>
      <c r="D482" t="s">
        <v>23</v>
      </c>
      <c r="E482">
        <v>49</v>
      </c>
      <c r="F482" t="s">
        <v>181</v>
      </c>
      <c r="G482" t="s">
        <v>37</v>
      </c>
      <c r="H482">
        <v>56689</v>
      </c>
      <c r="I482" s="6">
        <v>40582</v>
      </c>
      <c r="J482">
        <v>15</v>
      </c>
      <c r="K482" t="s">
        <v>57</v>
      </c>
      <c r="L482" t="s">
        <v>39</v>
      </c>
      <c r="M482">
        <v>3</v>
      </c>
      <c r="N482" t="s">
        <v>1063</v>
      </c>
      <c r="O482" t="s">
        <v>1077</v>
      </c>
    </row>
    <row r="483" spans="1:15" x14ac:dyDescent="0.25">
      <c r="A483" t="s">
        <v>1016</v>
      </c>
      <c r="B483" t="s">
        <v>184</v>
      </c>
      <c r="C483" t="s">
        <v>166</v>
      </c>
      <c r="D483" t="s">
        <v>23</v>
      </c>
      <c r="E483">
        <v>38</v>
      </c>
      <c r="F483" t="s">
        <v>142</v>
      </c>
      <c r="G483" t="s">
        <v>37</v>
      </c>
      <c r="H483">
        <v>63340</v>
      </c>
      <c r="I483" s="6">
        <v>43091</v>
      </c>
      <c r="J483">
        <v>8</v>
      </c>
      <c r="K483" t="s">
        <v>1017</v>
      </c>
      <c r="L483" t="s">
        <v>28</v>
      </c>
      <c r="M483">
        <v>4</v>
      </c>
      <c r="N483" t="s">
        <v>1061</v>
      </c>
      <c r="O483" t="s">
        <v>1077</v>
      </c>
    </row>
    <row r="484" spans="1:15" x14ac:dyDescent="0.25">
      <c r="A484" t="s">
        <v>1018</v>
      </c>
      <c r="B484" t="s">
        <v>321</v>
      </c>
      <c r="C484" t="s">
        <v>138</v>
      </c>
      <c r="D484" t="s">
        <v>23</v>
      </c>
      <c r="E484">
        <v>32</v>
      </c>
      <c r="F484" t="s">
        <v>181</v>
      </c>
      <c r="G484" t="s">
        <v>44</v>
      </c>
      <c r="H484">
        <v>43515</v>
      </c>
      <c r="I484" s="6">
        <v>42288</v>
      </c>
      <c r="J484">
        <v>10</v>
      </c>
      <c r="K484" t="s">
        <v>1019</v>
      </c>
      <c r="L484" t="s">
        <v>25</v>
      </c>
      <c r="M484">
        <v>3</v>
      </c>
      <c r="N484" t="s">
        <v>1060</v>
      </c>
      <c r="O484" t="s">
        <v>1076</v>
      </c>
    </row>
    <row r="485" spans="1:15" x14ac:dyDescent="0.25">
      <c r="A485" t="s">
        <v>1020</v>
      </c>
      <c r="B485" t="s">
        <v>374</v>
      </c>
      <c r="C485" t="s">
        <v>141</v>
      </c>
      <c r="D485" t="s">
        <v>8</v>
      </c>
      <c r="E485">
        <v>35</v>
      </c>
      <c r="F485" t="s">
        <v>154</v>
      </c>
      <c r="G485" t="s">
        <v>2</v>
      </c>
      <c r="H485">
        <v>64999</v>
      </c>
      <c r="I485" s="6">
        <v>43349</v>
      </c>
      <c r="J485">
        <v>8</v>
      </c>
      <c r="K485" t="s">
        <v>1021</v>
      </c>
      <c r="L485" t="s">
        <v>14</v>
      </c>
      <c r="M485">
        <v>3</v>
      </c>
      <c r="N485" t="s">
        <v>1060</v>
      </c>
      <c r="O485" t="s">
        <v>1077</v>
      </c>
    </row>
    <row r="486" spans="1:15" x14ac:dyDescent="0.25">
      <c r="A486" t="s">
        <v>1022</v>
      </c>
      <c r="B486" t="s">
        <v>514</v>
      </c>
      <c r="C486" t="s">
        <v>291</v>
      </c>
      <c r="D486" t="s">
        <v>1</v>
      </c>
      <c r="E486">
        <v>61</v>
      </c>
      <c r="F486" t="s">
        <v>36</v>
      </c>
      <c r="G486" t="s">
        <v>37</v>
      </c>
      <c r="H486">
        <v>86666</v>
      </c>
      <c r="I486" s="6">
        <v>38616</v>
      </c>
      <c r="J486">
        <v>21</v>
      </c>
      <c r="K486" t="s">
        <v>952</v>
      </c>
      <c r="L486" t="s">
        <v>107</v>
      </c>
      <c r="M486">
        <v>5</v>
      </c>
      <c r="N486" t="s">
        <v>1080</v>
      </c>
      <c r="O486" t="s">
        <v>1077</v>
      </c>
    </row>
    <row r="487" spans="1:15" x14ac:dyDescent="0.25">
      <c r="A487" t="s">
        <v>1023</v>
      </c>
      <c r="B487" t="s">
        <v>714</v>
      </c>
      <c r="C487" t="s">
        <v>263</v>
      </c>
      <c r="D487" t="s">
        <v>1</v>
      </c>
      <c r="E487">
        <v>41</v>
      </c>
      <c r="F487" t="s">
        <v>36</v>
      </c>
      <c r="G487" t="s">
        <v>63</v>
      </c>
      <c r="H487">
        <v>100747</v>
      </c>
      <c r="I487" s="6">
        <v>41692</v>
      </c>
      <c r="J487">
        <v>12</v>
      </c>
      <c r="K487" t="s">
        <v>1024</v>
      </c>
      <c r="L487" t="s">
        <v>14</v>
      </c>
      <c r="M487">
        <v>3</v>
      </c>
      <c r="N487" t="s">
        <v>1062</v>
      </c>
      <c r="O487" t="s">
        <v>1074</v>
      </c>
    </row>
    <row r="488" spans="1:15" x14ac:dyDescent="0.25">
      <c r="A488" t="s">
        <v>1025</v>
      </c>
      <c r="B488" t="s">
        <v>355</v>
      </c>
      <c r="C488" t="s">
        <v>222</v>
      </c>
      <c r="D488" t="s">
        <v>1</v>
      </c>
      <c r="E488">
        <v>41</v>
      </c>
      <c r="F488" t="s">
        <v>32</v>
      </c>
      <c r="G488" t="s">
        <v>17</v>
      </c>
      <c r="H488">
        <v>82102</v>
      </c>
      <c r="I488" s="6">
        <v>40831</v>
      </c>
      <c r="J488">
        <v>14</v>
      </c>
      <c r="K488" t="s">
        <v>1026</v>
      </c>
      <c r="L488" t="s">
        <v>49</v>
      </c>
      <c r="M488">
        <v>5</v>
      </c>
      <c r="N488" t="s">
        <v>1062</v>
      </c>
      <c r="O488" t="s">
        <v>1077</v>
      </c>
    </row>
    <row r="489" spans="1:15" x14ac:dyDescent="0.25">
      <c r="A489" t="s">
        <v>1027</v>
      </c>
      <c r="B489" t="s">
        <v>67</v>
      </c>
      <c r="C489" t="s">
        <v>485</v>
      </c>
      <c r="D489" t="s">
        <v>8</v>
      </c>
      <c r="E489">
        <v>32</v>
      </c>
      <c r="F489" t="s">
        <v>203</v>
      </c>
      <c r="G489" t="s">
        <v>2</v>
      </c>
      <c r="H489">
        <v>72122</v>
      </c>
      <c r="I489" s="6">
        <v>43522</v>
      </c>
      <c r="J489">
        <v>7</v>
      </c>
      <c r="K489" t="s">
        <v>1028</v>
      </c>
      <c r="L489" t="s">
        <v>65</v>
      </c>
      <c r="M489">
        <v>3</v>
      </c>
      <c r="N489" t="s">
        <v>1060</v>
      </c>
      <c r="O489" t="s">
        <v>1077</v>
      </c>
    </row>
    <row r="490" spans="1:15" x14ac:dyDescent="0.25">
      <c r="A490" t="s">
        <v>1029</v>
      </c>
      <c r="B490" t="s">
        <v>714</v>
      </c>
      <c r="C490" t="s">
        <v>118</v>
      </c>
      <c r="D490" t="s">
        <v>1</v>
      </c>
      <c r="E490">
        <v>55</v>
      </c>
      <c r="F490" t="s">
        <v>295</v>
      </c>
      <c r="G490" t="s">
        <v>161</v>
      </c>
      <c r="H490">
        <v>172632.23</v>
      </c>
      <c r="I490" s="6">
        <v>44159</v>
      </c>
      <c r="J490">
        <v>5</v>
      </c>
      <c r="K490" t="s">
        <v>488</v>
      </c>
      <c r="L490" t="s">
        <v>4</v>
      </c>
      <c r="M490">
        <v>3</v>
      </c>
      <c r="N490" t="s">
        <v>1064</v>
      </c>
      <c r="O490" t="s">
        <v>1078</v>
      </c>
    </row>
    <row r="491" spans="1:15" x14ac:dyDescent="0.25">
      <c r="A491" t="s">
        <v>1030</v>
      </c>
      <c r="B491" t="s">
        <v>6</v>
      </c>
      <c r="C491" t="s">
        <v>141</v>
      </c>
      <c r="D491" t="s">
        <v>1</v>
      </c>
      <c r="E491">
        <v>42</v>
      </c>
      <c r="F491" t="s">
        <v>133</v>
      </c>
      <c r="G491" t="s">
        <v>37</v>
      </c>
      <c r="H491">
        <v>66972</v>
      </c>
      <c r="I491" s="6">
        <v>38619</v>
      </c>
      <c r="J491">
        <v>21</v>
      </c>
      <c r="K491" t="s">
        <v>143</v>
      </c>
      <c r="L491" t="s">
        <v>107</v>
      </c>
      <c r="M491">
        <v>3</v>
      </c>
      <c r="N491" t="s">
        <v>1062</v>
      </c>
      <c r="O491" t="s">
        <v>1077</v>
      </c>
    </row>
    <row r="492" spans="1:15" x14ac:dyDescent="0.25">
      <c r="A492" t="s">
        <v>1031</v>
      </c>
      <c r="B492" t="s">
        <v>115</v>
      </c>
      <c r="C492" t="s">
        <v>394</v>
      </c>
      <c r="D492" t="s">
        <v>8</v>
      </c>
      <c r="E492">
        <v>54</v>
      </c>
      <c r="F492" t="s">
        <v>142</v>
      </c>
      <c r="G492" t="s">
        <v>37</v>
      </c>
      <c r="H492">
        <v>54257</v>
      </c>
      <c r="I492" s="6">
        <v>41933</v>
      </c>
      <c r="J492">
        <v>11</v>
      </c>
      <c r="K492" t="s">
        <v>1032</v>
      </c>
      <c r="L492" t="s">
        <v>19</v>
      </c>
      <c r="M492">
        <v>4</v>
      </c>
      <c r="N492" t="s">
        <v>1064</v>
      </c>
      <c r="O492" t="s">
        <v>1077</v>
      </c>
    </row>
    <row r="493" spans="1:15" x14ac:dyDescent="0.25">
      <c r="A493" t="s">
        <v>1033</v>
      </c>
      <c r="B493" t="s">
        <v>530</v>
      </c>
      <c r="C493" t="s">
        <v>104</v>
      </c>
      <c r="D493" t="s">
        <v>8</v>
      </c>
      <c r="E493">
        <v>42</v>
      </c>
      <c r="F493" t="s">
        <v>142</v>
      </c>
      <c r="G493" t="s">
        <v>17</v>
      </c>
      <c r="H493">
        <v>52057</v>
      </c>
      <c r="I493" s="6">
        <v>41321</v>
      </c>
      <c r="J493">
        <v>13</v>
      </c>
      <c r="K493" t="s">
        <v>731</v>
      </c>
      <c r="L493" t="s">
        <v>107</v>
      </c>
      <c r="M493">
        <v>3</v>
      </c>
      <c r="N493" t="s">
        <v>1062</v>
      </c>
      <c r="O493" t="s">
        <v>1077</v>
      </c>
    </row>
    <row r="494" spans="1:15" x14ac:dyDescent="0.25">
      <c r="A494" t="s">
        <v>1034</v>
      </c>
      <c r="B494" t="s">
        <v>21</v>
      </c>
      <c r="C494" t="s">
        <v>222</v>
      </c>
      <c r="D494" t="s">
        <v>23</v>
      </c>
      <c r="E494">
        <v>54</v>
      </c>
      <c r="F494" t="s">
        <v>154</v>
      </c>
      <c r="G494" t="s">
        <v>37</v>
      </c>
      <c r="H494">
        <v>52662</v>
      </c>
      <c r="I494" s="6">
        <v>39348</v>
      </c>
      <c r="J494">
        <v>19</v>
      </c>
      <c r="K494" t="s">
        <v>1035</v>
      </c>
      <c r="L494" t="s">
        <v>28</v>
      </c>
      <c r="M494">
        <v>3</v>
      </c>
      <c r="N494" t="s">
        <v>1064</v>
      </c>
      <c r="O494" t="s">
        <v>1077</v>
      </c>
    </row>
    <row r="495" spans="1:15" x14ac:dyDescent="0.25">
      <c r="A495" t="s">
        <v>1036</v>
      </c>
      <c r="B495" t="s">
        <v>232</v>
      </c>
      <c r="C495" t="s">
        <v>263</v>
      </c>
      <c r="D495" t="s">
        <v>8</v>
      </c>
      <c r="E495">
        <v>47</v>
      </c>
      <c r="F495" t="s">
        <v>142</v>
      </c>
      <c r="G495" t="s">
        <v>100</v>
      </c>
      <c r="H495">
        <v>54580</v>
      </c>
      <c r="I495" s="6">
        <v>41070</v>
      </c>
      <c r="J495">
        <v>14</v>
      </c>
      <c r="K495" t="s">
        <v>1037</v>
      </c>
      <c r="L495" t="s">
        <v>107</v>
      </c>
      <c r="M495">
        <v>5</v>
      </c>
      <c r="N495" t="s">
        <v>1063</v>
      </c>
      <c r="O495" t="s">
        <v>1077</v>
      </c>
    </row>
    <row r="496" spans="1:15" x14ac:dyDescent="0.25">
      <c r="A496" t="s">
        <v>1038</v>
      </c>
      <c r="B496" t="s">
        <v>43</v>
      </c>
      <c r="C496" t="s">
        <v>83</v>
      </c>
      <c r="D496" t="s">
        <v>8</v>
      </c>
      <c r="E496">
        <v>48</v>
      </c>
      <c r="F496" t="s">
        <v>313</v>
      </c>
      <c r="G496" t="s">
        <v>2</v>
      </c>
      <c r="H496">
        <v>131470</v>
      </c>
      <c r="I496" s="6">
        <v>44337</v>
      </c>
      <c r="J496">
        <v>5</v>
      </c>
      <c r="K496" t="s">
        <v>187</v>
      </c>
      <c r="L496" t="s">
        <v>85</v>
      </c>
      <c r="M496">
        <v>2</v>
      </c>
      <c r="N496" t="s">
        <v>1063</v>
      </c>
      <c r="O496" t="s">
        <v>1074</v>
      </c>
    </row>
    <row r="497" spans="1:15" x14ac:dyDescent="0.25">
      <c r="A497" t="s">
        <v>1039</v>
      </c>
      <c r="B497" t="s">
        <v>115</v>
      </c>
      <c r="C497" t="s">
        <v>269</v>
      </c>
      <c r="D497" t="s">
        <v>8</v>
      </c>
      <c r="E497">
        <v>47</v>
      </c>
      <c r="F497" t="s">
        <v>203</v>
      </c>
      <c r="G497" t="s">
        <v>17</v>
      </c>
      <c r="H497">
        <v>48790</v>
      </c>
      <c r="I497" s="6">
        <v>39454</v>
      </c>
      <c r="J497">
        <v>18</v>
      </c>
      <c r="K497" t="s">
        <v>1040</v>
      </c>
      <c r="L497" t="s">
        <v>11</v>
      </c>
      <c r="M497">
        <v>3</v>
      </c>
      <c r="N497" t="s">
        <v>1063</v>
      </c>
      <c r="O497" t="s">
        <v>1076</v>
      </c>
    </row>
    <row r="498" spans="1:15" x14ac:dyDescent="0.25">
      <c r="A498" t="s">
        <v>1041</v>
      </c>
      <c r="B498" t="s">
        <v>30</v>
      </c>
      <c r="C498" t="s">
        <v>80</v>
      </c>
      <c r="D498" t="s">
        <v>1</v>
      </c>
      <c r="E498">
        <v>36</v>
      </c>
      <c r="F498" t="s">
        <v>133</v>
      </c>
      <c r="G498" t="s">
        <v>63</v>
      </c>
      <c r="H498">
        <v>63652.98</v>
      </c>
      <c r="I498" s="6">
        <v>45202</v>
      </c>
      <c r="J498">
        <v>3</v>
      </c>
      <c r="K498" t="s">
        <v>1042</v>
      </c>
      <c r="L498" t="s">
        <v>28</v>
      </c>
      <c r="M498">
        <v>2</v>
      </c>
      <c r="N498" t="s">
        <v>1061</v>
      </c>
      <c r="O498" t="s">
        <v>1077</v>
      </c>
    </row>
    <row r="499" spans="1:15" x14ac:dyDescent="0.25">
      <c r="A499" t="s">
        <v>1043</v>
      </c>
      <c r="B499" t="s">
        <v>624</v>
      </c>
      <c r="C499" t="s">
        <v>22</v>
      </c>
      <c r="D499" t="s">
        <v>23</v>
      </c>
      <c r="E499">
        <v>42</v>
      </c>
      <c r="F499" t="s">
        <v>203</v>
      </c>
      <c r="G499" t="s">
        <v>17</v>
      </c>
      <c r="H499">
        <v>58445.95</v>
      </c>
      <c r="I499" s="6">
        <v>41959</v>
      </c>
      <c r="J499">
        <v>11</v>
      </c>
      <c r="K499" t="s">
        <v>1044</v>
      </c>
      <c r="L499" t="s">
        <v>207</v>
      </c>
      <c r="M499">
        <v>3</v>
      </c>
      <c r="N499" t="s">
        <v>1062</v>
      </c>
      <c r="O499" t="s">
        <v>1077</v>
      </c>
    </row>
    <row r="500" spans="1:15" x14ac:dyDescent="0.25">
      <c r="A500" t="s">
        <v>1045</v>
      </c>
      <c r="B500" t="s">
        <v>714</v>
      </c>
      <c r="C500" t="s">
        <v>68</v>
      </c>
      <c r="D500" t="s">
        <v>8</v>
      </c>
      <c r="E500">
        <v>28</v>
      </c>
      <c r="F500" t="s">
        <v>36</v>
      </c>
      <c r="G500" t="s">
        <v>37</v>
      </c>
      <c r="H500">
        <v>98373</v>
      </c>
      <c r="I500" s="6"/>
      <c r="K500" t="s">
        <v>1046</v>
      </c>
      <c r="L500" t="s">
        <v>11</v>
      </c>
      <c r="M500">
        <v>5</v>
      </c>
      <c r="N500" t="s">
        <v>1075</v>
      </c>
      <c r="O500" t="s">
        <v>1077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D377-8C38-4C5B-A449-382FB4700053}">
  <dimension ref="A1:T500"/>
  <sheetViews>
    <sheetView topLeftCell="K1" workbookViewId="0">
      <selection activeCell="Q5" sqref="Q5"/>
    </sheetView>
  </sheetViews>
  <sheetFormatPr defaultRowHeight="15" x14ac:dyDescent="0.25"/>
  <cols>
    <col min="1" max="1" width="14.28515625" customWidth="1"/>
    <col min="2" max="2" width="12.85546875" bestFit="1" customWidth="1"/>
    <col min="3" max="3" width="12.28515625" bestFit="1" customWidth="1"/>
    <col min="4" max="4" width="11" bestFit="1" customWidth="1"/>
    <col min="5" max="5" width="9.140625" customWidth="1"/>
    <col min="6" max="6" width="24.7109375" bestFit="1" customWidth="1"/>
    <col min="7" max="7" width="17.85546875" bestFit="1" customWidth="1"/>
    <col min="8" max="8" width="12.85546875" style="2" bestFit="1" customWidth="1"/>
    <col min="9" max="9" width="13" customWidth="1"/>
    <col min="10" max="10" width="18.140625" style="3" customWidth="1"/>
    <col min="11" max="11" width="39.42578125" bestFit="1" customWidth="1"/>
    <col min="12" max="12" width="12" bestFit="1" customWidth="1"/>
    <col min="13" max="13" width="20.5703125" customWidth="1"/>
    <col min="14" max="14" width="19.140625" customWidth="1"/>
    <col min="15" max="15" width="15.28515625" customWidth="1"/>
    <col min="16" max="16" width="10.42578125" customWidth="1"/>
    <col min="17" max="17" width="10.42578125" bestFit="1" customWidth="1"/>
    <col min="18" max="18" width="10.28515625" customWidth="1"/>
    <col min="19" max="19" width="13.5703125" customWidth="1"/>
    <col min="20" max="20" width="10.42578125" bestFit="1" customWidth="1"/>
    <col min="22" max="22" width="13.28515625" customWidth="1"/>
  </cols>
  <sheetData>
    <row r="1" spans="1:20" x14ac:dyDescent="0.25">
      <c r="A1" t="s">
        <v>1047</v>
      </c>
      <c r="B1" t="s">
        <v>1048</v>
      </c>
      <c r="C1" t="s">
        <v>1049</v>
      </c>
      <c r="D1" t="s">
        <v>1050</v>
      </c>
      <c r="E1" t="s">
        <v>1051</v>
      </c>
      <c r="F1" t="s">
        <v>1052</v>
      </c>
      <c r="G1" t="s">
        <v>1053</v>
      </c>
      <c r="H1" s="2" t="s">
        <v>1054</v>
      </c>
      <c r="I1" t="s">
        <v>1055</v>
      </c>
      <c r="J1" s="3" t="s">
        <v>1067</v>
      </c>
      <c r="K1" t="s">
        <v>1056</v>
      </c>
      <c r="L1" t="s">
        <v>1057</v>
      </c>
      <c r="M1" t="s">
        <v>1058</v>
      </c>
      <c r="N1" t="s">
        <v>1072</v>
      </c>
      <c r="O1" t="s">
        <v>1073</v>
      </c>
      <c r="P1" t="s">
        <v>1081</v>
      </c>
    </row>
    <row r="2" spans="1:20" x14ac:dyDescent="0.25">
      <c r="A2" t="s">
        <v>0</v>
      </c>
      <c r="B2" t="s">
        <v>374</v>
      </c>
      <c r="C2" t="s">
        <v>91</v>
      </c>
      <c r="D2" t="s">
        <v>1</v>
      </c>
      <c r="E2">
        <v>56</v>
      </c>
      <c r="F2" t="s">
        <v>36</v>
      </c>
      <c r="G2" t="s">
        <v>2</v>
      </c>
      <c r="H2" s="2">
        <v>123185</v>
      </c>
      <c r="I2" s="1">
        <v>39151</v>
      </c>
      <c r="J2" s="3">
        <v>19</v>
      </c>
      <c r="K2" t="s">
        <v>3</v>
      </c>
      <c r="L2" t="s">
        <v>4</v>
      </c>
      <c r="M2">
        <v>3</v>
      </c>
      <c r="N2" t="str" cm="1">
        <f t="array" ref="N2">_xlfn.IFS(AND(24&lt;=Table1[[#This Row],[Age]],Table1[[#This Row],[Age]]&lt;=30),"24-30",Table1[[#This Row],[Age]]&lt;=35,"31-35",Table1[[#This Row],[Age]]&lt;=40,"36-40",Table1[[#This Row],[Age]]&lt;=45,"41-45",Table1[[#This Row],[Age]]&lt;=50,"46-50",Table1[[#This Row],[Age]]&lt;=55,"51-55",Table1[[#This Row],[Age]]&lt;=60,"56-60",Table1[[#This Row],[Age]]&lt;=66,"61-66")</f>
        <v>56-60</v>
      </c>
      <c r="O2" t="s">
        <v>1074</v>
      </c>
      <c r="P2" t="str" cm="1">
        <f t="array" ref="P2">_xlfn.IFS(Table1[[#This Row],[Company Tenure]]&lt;=5,"1-5",Table1[[#This Row],[Company Tenure]]&lt;=10,"6-10",Table1[[#This Row],[Company Tenure]]&lt;=15,"11-15",Table1[[#This Row],[Company Tenure]]&lt;=20, "15-20",Table1[[#This Row],[Company Tenure]]&gt;20,"Above 20")</f>
        <v>15-20</v>
      </c>
    </row>
    <row r="3" spans="1:20" x14ac:dyDescent="0.25">
      <c r="A3" t="s">
        <v>5</v>
      </c>
      <c r="B3" t="s">
        <v>6</v>
      </c>
      <c r="C3" t="s">
        <v>7</v>
      </c>
      <c r="D3" t="s">
        <v>8</v>
      </c>
      <c r="E3">
        <v>28</v>
      </c>
      <c r="F3" t="s">
        <v>9</v>
      </c>
      <c r="G3" t="s">
        <v>2</v>
      </c>
      <c r="H3" s="2">
        <v>119403</v>
      </c>
      <c r="I3" s="1">
        <v>44390</v>
      </c>
      <c r="J3" s="3">
        <v>5</v>
      </c>
      <c r="K3" t="s">
        <v>10</v>
      </c>
      <c r="L3" t="s">
        <v>11</v>
      </c>
      <c r="M3">
        <v>5</v>
      </c>
      <c r="N3" t="str" cm="1">
        <f t="array" ref="N3">_xlfn.IFS(AND(24&lt;=Table1[[#This Row],[Age]],Table1[[#This Row],[Age]]&lt;=30),"24-30",Table1[[#This Row],[Age]]&lt;=35,"31-35",Table1[[#This Row],[Age]]&lt;=40,"36-40",Table1[[#This Row],[Age]]&lt;=45,"41-45",Table1[[#This Row],[Age]]&lt;=50,"46-50",Table1[[#This Row],[Age]]&lt;=55,"51-55",Table1[[#This Row],[Age]]&lt;=60,"56-60",Table1[[#This Row],[Age]]&lt;=66,"61-66")</f>
        <v>24-30</v>
      </c>
      <c r="O3" t="s">
        <v>1074</v>
      </c>
      <c r="P3" t="str" cm="1">
        <f t="array" ref="P3">_xlfn.IFS(Table1[[#This Row],[Company Tenure]]&lt;=5,"1-5",Table1[[#This Row],[Company Tenure]]&lt;=10,"6-10",Table1[[#This Row],[Company Tenure]]&lt;=15,"11-15",Table1[[#This Row],[Company Tenure]]&lt;=20, "15-20",Table1[[#This Row],[Company Tenure]]&gt;20,"Above 20")</f>
        <v>1-5</v>
      </c>
      <c r="S3" s="1"/>
    </row>
    <row r="4" spans="1:20" x14ac:dyDescent="0.25">
      <c r="A4" t="s">
        <v>12</v>
      </c>
      <c r="B4" t="s">
        <v>268</v>
      </c>
      <c r="C4" t="s">
        <v>138</v>
      </c>
      <c r="D4" t="s">
        <v>8</v>
      </c>
      <c r="E4">
        <v>48</v>
      </c>
      <c r="F4" t="s">
        <v>154</v>
      </c>
      <c r="G4" t="s">
        <v>17</v>
      </c>
      <c r="H4" s="2">
        <v>41791.5</v>
      </c>
      <c r="I4" s="1">
        <v>39265</v>
      </c>
      <c r="J4" s="3">
        <v>19</v>
      </c>
      <c r="K4" t="s">
        <v>13</v>
      </c>
      <c r="L4" t="s">
        <v>14</v>
      </c>
      <c r="M4">
        <v>5</v>
      </c>
      <c r="N4" t="str" cm="1">
        <f t="array" ref="N4">_xlfn.IFS(AND(24&lt;=Table1[[#This Row],[Age]],Table1[[#This Row],[Age]]&lt;=30),"24-30",Table1[[#This Row],[Age]]&lt;=35,"31-35",Table1[[#This Row],[Age]]&lt;=40,"36-40",Table1[[#This Row],[Age]]&lt;=45,"41-45",Table1[[#This Row],[Age]]&lt;=50,"46-50",Table1[[#This Row],[Age]]&lt;=55,"51-55",Table1[[#This Row],[Age]]&lt;=60,"56-60",Table1[[#This Row],[Age]]&lt;=66,"61-66")</f>
        <v>46-50</v>
      </c>
      <c r="O4" t="s">
        <v>1076</v>
      </c>
      <c r="P4" t="str" cm="1">
        <f t="array" ref="P4">_xlfn.IFS(Table1[[#This Row],[Company Tenure]]&lt;=5,"1-5",Table1[[#This Row],[Company Tenure]]&lt;=10,"6-10",Table1[[#This Row],[Company Tenure]]&lt;=15,"11-15",Table1[[#This Row],[Company Tenure]]&lt;=20, "15-20",Table1[[#This Row],[Company Tenure]]&gt;20,"Above 20")</f>
        <v>15-20</v>
      </c>
    </row>
    <row r="5" spans="1:20" x14ac:dyDescent="0.25">
      <c r="A5" t="s">
        <v>15</v>
      </c>
      <c r="B5" t="s">
        <v>16</v>
      </c>
      <c r="C5" t="s">
        <v>16</v>
      </c>
      <c r="D5" t="s">
        <v>1</v>
      </c>
      <c r="E5">
        <v>36</v>
      </c>
      <c r="F5" t="s">
        <v>133</v>
      </c>
      <c r="G5" t="s">
        <v>17</v>
      </c>
      <c r="H5" s="2">
        <v>55953.55</v>
      </c>
      <c r="I5" s="1">
        <v>42047</v>
      </c>
      <c r="J5" s="3">
        <v>11</v>
      </c>
      <c r="K5" t="s">
        <v>18</v>
      </c>
      <c r="L5" t="s">
        <v>19</v>
      </c>
      <c r="M5">
        <v>3</v>
      </c>
      <c r="N5" t="str" cm="1">
        <f t="array" ref="N5">_xlfn.IFS(AND(24&lt;=Table1[[#This Row],[Age]],Table1[[#This Row],[Age]]&lt;=30),"24-30",Table1[[#This Row],[Age]]&lt;=35,"31-35",Table1[[#This Row],[Age]]&lt;=40,"36-40",Table1[[#This Row],[Age]]&lt;=45,"41-45",Table1[[#This Row],[Age]]&lt;=50,"46-50",Table1[[#This Row],[Age]]&lt;=55,"51-55",Table1[[#This Row],[Age]]&lt;=60,"56-60",Table1[[#This Row],[Age]]&lt;=66,"61-66")</f>
        <v>36-40</v>
      </c>
      <c r="O5" t="s">
        <v>1077</v>
      </c>
      <c r="P5" t="str" cm="1">
        <f t="array" ref="P5">_xlfn.IFS(Table1[[#This Row],[Company Tenure]]&lt;=5,"1-5",Table1[[#This Row],[Company Tenure]]&lt;=10,"6-10",Table1[[#This Row],[Company Tenure]]&lt;=15,"11-15",Table1[[#This Row],[Company Tenure]]&lt;=20, "15-20",Table1[[#This Row],[Company Tenure]]&gt;20,"Above 20")</f>
        <v>11-15</v>
      </c>
      <c r="R5" s="1"/>
      <c r="S5" s="1"/>
      <c r="T5" s="1"/>
    </row>
    <row r="6" spans="1:20" x14ac:dyDescent="0.25">
      <c r="A6" t="s">
        <v>20</v>
      </c>
      <c r="B6" t="s">
        <v>21</v>
      </c>
      <c r="C6" t="s">
        <v>22</v>
      </c>
      <c r="D6" t="s">
        <v>23</v>
      </c>
      <c r="E6">
        <v>43</v>
      </c>
      <c r="F6" t="s">
        <v>203</v>
      </c>
      <c r="G6" t="s">
        <v>17</v>
      </c>
      <c r="H6" s="2">
        <v>59738</v>
      </c>
      <c r="I6" s="1">
        <v>40160</v>
      </c>
      <c r="J6" s="3">
        <v>16</v>
      </c>
      <c r="K6" t="s">
        <v>24</v>
      </c>
      <c r="L6" t="s">
        <v>25</v>
      </c>
      <c r="M6">
        <v>2</v>
      </c>
      <c r="N6" t="str" cm="1">
        <f t="array" ref="N6">_xlfn.IFS(AND(24&lt;=Table1[[#This Row],[Age]],Table1[[#This Row],[Age]]&lt;=30),"24-30",Table1[[#This Row],[Age]]&lt;=35,"31-35",Table1[[#This Row],[Age]]&lt;=40,"36-40",Table1[[#This Row],[Age]]&lt;=45,"41-45",Table1[[#This Row],[Age]]&lt;=50,"46-50",Table1[[#This Row],[Age]]&lt;=55,"51-55",Table1[[#This Row],[Age]]&lt;=60,"56-60",Table1[[#This Row],[Age]]&lt;=66,"61-66")</f>
        <v>41-45</v>
      </c>
      <c r="O6" t="s">
        <v>1077</v>
      </c>
      <c r="P6" t="str" cm="1">
        <f t="array" ref="P6">_xlfn.IFS(Table1[[#This Row],[Company Tenure]]&lt;=5,"1-5",Table1[[#This Row],[Company Tenure]]&lt;=10,"6-10",Table1[[#This Row],[Company Tenure]]&lt;=15,"11-15",Table1[[#This Row],[Company Tenure]]&lt;=20, "15-20",Table1[[#This Row],[Company Tenure]]&gt;20,"Above 20")</f>
        <v>15-20</v>
      </c>
      <c r="S6" s="1"/>
      <c r="T6" s="1"/>
    </row>
    <row r="7" spans="1:20" x14ac:dyDescent="0.25">
      <c r="A7" t="s">
        <v>26</v>
      </c>
      <c r="B7" t="s">
        <v>132</v>
      </c>
      <c r="C7" t="s">
        <v>589</v>
      </c>
      <c r="D7" t="s">
        <v>1</v>
      </c>
      <c r="E7">
        <v>44</v>
      </c>
      <c r="F7" t="s">
        <v>142</v>
      </c>
      <c r="G7" t="s">
        <v>17</v>
      </c>
      <c r="H7" s="2">
        <v>60058.66</v>
      </c>
      <c r="I7" s="1">
        <v>43976</v>
      </c>
      <c r="J7" s="3">
        <v>6</v>
      </c>
      <c r="K7" t="s">
        <v>27</v>
      </c>
      <c r="L7" t="s">
        <v>28</v>
      </c>
      <c r="M7">
        <v>3</v>
      </c>
      <c r="N7" t="str" cm="1">
        <f t="array" ref="N7">_xlfn.IFS(AND(24&lt;=Table1[[#This Row],[Age]],Table1[[#This Row],[Age]]&lt;=30),"24-30",Table1[[#This Row],[Age]]&lt;=35,"31-35",Table1[[#This Row],[Age]]&lt;=40,"36-40",Table1[[#This Row],[Age]]&lt;=45,"41-45",Table1[[#This Row],[Age]]&lt;=50,"46-50",Table1[[#This Row],[Age]]&lt;=55,"51-55",Table1[[#This Row],[Age]]&lt;=60,"56-60",Table1[[#This Row],[Age]]&lt;=66,"61-66")</f>
        <v>41-45</v>
      </c>
      <c r="O7" t="s">
        <v>1077</v>
      </c>
      <c r="P7" t="str" cm="1">
        <f t="array" ref="P7">_xlfn.IFS(Table1[[#This Row],[Company Tenure]]&lt;=5,"1-5",Table1[[#This Row],[Company Tenure]]&lt;=10,"6-10",Table1[[#This Row],[Company Tenure]]&lt;=15,"11-15",Table1[[#This Row],[Company Tenure]]&lt;=20, "15-20",Table1[[#This Row],[Company Tenure]]&gt;20,"Above 20")</f>
        <v>6-10</v>
      </c>
    </row>
    <row r="8" spans="1:20" x14ac:dyDescent="0.25">
      <c r="A8" t="s">
        <v>29</v>
      </c>
      <c r="B8" t="s">
        <v>30</v>
      </c>
      <c r="C8" t="s">
        <v>31</v>
      </c>
      <c r="D8" t="s">
        <v>1</v>
      </c>
      <c r="E8">
        <v>42</v>
      </c>
      <c r="F8" t="s">
        <v>32</v>
      </c>
      <c r="G8" t="s">
        <v>161</v>
      </c>
      <c r="H8" s="2">
        <v>148727</v>
      </c>
      <c r="I8" s="1">
        <v>40411</v>
      </c>
      <c r="J8" s="3">
        <v>16</v>
      </c>
      <c r="K8" t="s">
        <v>33</v>
      </c>
      <c r="L8" t="s">
        <v>19</v>
      </c>
      <c r="M8">
        <v>4</v>
      </c>
      <c r="N8" t="str" cm="1">
        <f t="array" ref="N8">_xlfn.IFS(AND(24&lt;=Table1[[#This Row],[Age]],Table1[[#This Row],[Age]]&lt;=30),"24-30",Table1[[#This Row],[Age]]&lt;=35,"31-35",Table1[[#This Row],[Age]]&lt;=40,"36-40",Table1[[#This Row],[Age]]&lt;=45,"41-45",Table1[[#This Row],[Age]]&lt;=50,"46-50",Table1[[#This Row],[Age]]&lt;=55,"51-55",Table1[[#This Row],[Age]]&lt;=60,"56-60",Table1[[#This Row],[Age]]&lt;=66,"61-66")</f>
        <v>41-45</v>
      </c>
      <c r="O8" t="s">
        <v>1074</v>
      </c>
      <c r="P8" t="str" cm="1">
        <f t="array" ref="P8">_xlfn.IFS(Table1[[#This Row],[Company Tenure]]&lt;=5,"1-5",Table1[[#This Row],[Company Tenure]]&lt;=10,"6-10",Table1[[#This Row],[Company Tenure]]&lt;=15,"11-15",Table1[[#This Row],[Company Tenure]]&lt;=20, "15-20",Table1[[#This Row],[Company Tenure]]&gt;20,"Above 20")</f>
        <v>15-20</v>
      </c>
    </row>
    <row r="9" spans="1:20" x14ac:dyDescent="0.25">
      <c r="A9" t="s">
        <v>34</v>
      </c>
      <c r="B9" t="s">
        <v>132</v>
      </c>
      <c r="C9" t="s">
        <v>35</v>
      </c>
      <c r="D9" t="s">
        <v>23</v>
      </c>
      <c r="E9">
        <v>50</v>
      </c>
      <c r="F9" t="s">
        <v>36</v>
      </c>
      <c r="G9" t="s">
        <v>37</v>
      </c>
      <c r="H9" s="2">
        <v>102926</v>
      </c>
      <c r="I9" s="1">
        <v>41223</v>
      </c>
      <c r="J9" s="3">
        <v>13</v>
      </c>
      <c r="K9" t="s">
        <v>38</v>
      </c>
      <c r="L9" t="s">
        <v>39</v>
      </c>
      <c r="M9">
        <v>4</v>
      </c>
      <c r="N9" t="str" cm="1">
        <f t="array" ref="N9">_xlfn.IFS(AND(24&lt;=Table1[[#This Row],[Age]],Table1[[#This Row],[Age]]&lt;=30),"24-30",Table1[[#This Row],[Age]]&lt;=35,"31-35",Table1[[#This Row],[Age]]&lt;=40,"36-40",Table1[[#This Row],[Age]]&lt;=45,"41-45",Table1[[#This Row],[Age]]&lt;=50,"46-50",Table1[[#This Row],[Age]]&lt;=55,"51-55",Table1[[#This Row],[Age]]&lt;=60,"56-60",Table1[[#This Row],[Age]]&lt;=66,"61-66")</f>
        <v>46-50</v>
      </c>
      <c r="O9" t="s">
        <v>1074</v>
      </c>
      <c r="P9" t="str" cm="1">
        <f t="array" ref="P9">_xlfn.IFS(Table1[[#This Row],[Company Tenure]]&lt;=5,"1-5",Table1[[#This Row],[Company Tenure]]&lt;=10,"6-10",Table1[[#This Row],[Company Tenure]]&lt;=15,"11-15",Table1[[#This Row],[Company Tenure]]&lt;=20, "15-20",Table1[[#This Row],[Company Tenure]]&gt;20,"Above 20")</f>
        <v>11-15</v>
      </c>
    </row>
    <row r="10" spans="1:20" x14ac:dyDescent="0.25">
      <c r="A10" t="s">
        <v>40</v>
      </c>
      <c r="B10" t="s">
        <v>43</v>
      </c>
      <c r="C10" t="s">
        <v>485</v>
      </c>
      <c r="D10" t="s">
        <v>1</v>
      </c>
      <c r="E10">
        <v>45</v>
      </c>
      <c r="F10" t="s">
        <v>295</v>
      </c>
      <c r="G10" t="s">
        <v>17</v>
      </c>
      <c r="H10" s="2">
        <v>70674.58</v>
      </c>
      <c r="I10" s="1">
        <v>42007</v>
      </c>
      <c r="J10" s="3">
        <v>11</v>
      </c>
      <c r="K10" t="s">
        <v>41</v>
      </c>
      <c r="L10" t="s">
        <v>25</v>
      </c>
      <c r="M10">
        <v>4</v>
      </c>
      <c r="N10" t="str" cm="1">
        <f t="array" ref="N10">_xlfn.IFS(AND(24&lt;=Table1[[#This Row],[Age]],Table1[[#This Row],[Age]]&lt;=30),"24-30",Table1[[#This Row],[Age]]&lt;=35,"31-35",Table1[[#This Row],[Age]]&lt;=40,"36-40",Table1[[#This Row],[Age]]&lt;=45,"41-45",Table1[[#This Row],[Age]]&lt;=50,"46-50",Table1[[#This Row],[Age]]&lt;=55,"51-55",Table1[[#This Row],[Age]]&lt;=60,"56-60",Table1[[#This Row],[Age]]&lt;=66,"61-66")</f>
        <v>41-45</v>
      </c>
      <c r="O10" t="s">
        <v>1077</v>
      </c>
      <c r="P10" t="str" cm="1">
        <f t="array" ref="P10">_xlfn.IFS(Table1[[#This Row],[Company Tenure]]&lt;=5,"1-5",Table1[[#This Row],[Company Tenure]]&lt;=10,"6-10",Table1[[#This Row],[Company Tenure]]&lt;=15,"11-15",Table1[[#This Row],[Company Tenure]]&lt;=20, "15-20",Table1[[#This Row],[Company Tenure]]&gt;20,"Above 20")</f>
        <v>11-15</v>
      </c>
    </row>
    <row r="11" spans="1:20" x14ac:dyDescent="0.25">
      <c r="A11" t="s">
        <v>42</v>
      </c>
      <c r="B11" t="s">
        <v>43</v>
      </c>
      <c r="C11" t="s">
        <v>22</v>
      </c>
      <c r="D11" t="s">
        <v>23</v>
      </c>
      <c r="E11">
        <v>42</v>
      </c>
      <c r="F11" t="s">
        <v>181</v>
      </c>
      <c r="G11" t="s">
        <v>44</v>
      </c>
      <c r="H11" s="2">
        <v>50030.33</v>
      </c>
      <c r="I11" s="1">
        <v>39057</v>
      </c>
      <c r="J11" s="3">
        <v>19</v>
      </c>
      <c r="K11" t="s">
        <v>45</v>
      </c>
      <c r="L11" t="s">
        <v>28</v>
      </c>
      <c r="M11">
        <v>4</v>
      </c>
      <c r="N11" t="str" cm="1">
        <f t="array" ref="N11">_xlfn.IFS(AND(24&lt;=Table1[[#This Row],[Age]],Table1[[#This Row],[Age]]&lt;=30),"24-30",Table1[[#This Row],[Age]]&lt;=35,"31-35",Table1[[#This Row],[Age]]&lt;=40,"36-40",Table1[[#This Row],[Age]]&lt;=45,"41-45",Table1[[#This Row],[Age]]&lt;=50,"46-50",Table1[[#This Row],[Age]]&lt;=55,"51-55",Table1[[#This Row],[Age]]&lt;=60,"56-60",Table1[[#This Row],[Age]]&lt;=66,"61-66")</f>
        <v>41-45</v>
      </c>
      <c r="O11" t="s">
        <v>1077</v>
      </c>
      <c r="P11" t="str" cm="1">
        <f t="array" ref="P11">_xlfn.IFS(Table1[[#This Row],[Company Tenure]]&lt;=5,"1-5",Table1[[#This Row],[Company Tenure]]&lt;=10,"6-10",Table1[[#This Row],[Company Tenure]]&lt;=15,"11-15",Table1[[#This Row],[Company Tenure]]&lt;=20, "15-20",Table1[[#This Row],[Company Tenure]]&gt;20,"Above 20")</f>
        <v>15-20</v>
      </c>
    </row>
    <row r="12" spans="1:20" x14ac:dyDescent="0.25">
      <c r="A12" t="s">
        <v>46</v>
      </c>
      <c r="B12" t="s">
        <v>47</v>
      </c>
      <c r="C12" t="s">
        <v>16</v>
      </c>
      <c r="D12" t="s">
        <v>23</v>
      </c>
      <c r="E12">
        <v>36</v>
      </c>
      <c r="F12" t="s">
        <v>1066</v>
      </c>
      <c r="G12" t="s">
        <v>63</v>
      </c>
      <c r="H12" s="2">
        <v>94159</v>
      </c>
      <c r="I12" s="1">
        <v>43460</v>
      </c>
      <c r="J12" s="3">
        <v>7</v>
      </c>
      <c r="K12" t="s">
        <v>48</v>
      </c>
      <c r="L12" t="s">
        <v>49</v>
      </c>
      <c r="M12">
        <v>3</v>
      </c>
      <c r="N12" t="str" cm="1">
        <f t="array" ref="N12">_xlfn.IFS(AND(24&lt;=Table1[[#This Row],[Age]],Table1[[#This Row],[Age]]&lt;=30),"24-30",Table1[[#This Row],[Age]]&lt;=35,"31-35",Table1[[#This Row],[Age]]&lt;=40,"36-40",Table1[[#This Row],[Age]]&lt;=45,"41-45",Table1[[#This Row],[Age]]&lt;=50,"46-50",Table1[[#This Row],[Age]]&lt;=55,"51-55",Table1[[#This Row],[Age]]&lt;=60,"56-60",Table1[[#This Row],[Age]]&lt;=66,"61-66")</f>
        <v>36-40</v>
      </c>
      <c r="O12" t="s">
        <v>1077</v>
      </c>
      <c r="P12" t="str" cm="1">
        <f t="array" ref="P12">_xlfn.IFS(Table1[[#This Row],[Company Tenure]]&lt;=5,"1-5",Table1[[#This Row],[Company Tenure]]&lt;=10,"6-10",Table1[[#This Row],[Company Tenure]]&lt;=15,"11-15",Table1[[#This Row],[Company Tenure]]&lt;=20, "15-20",Table1[[#This Row],[Company Tenure]]&gt;20,"Above 20")</f>
        <v>6-10</v>
      </c>
    </row>
    <row r="13" spans="1:20" x14ac:dyDescent="0.25">
      <c r="A13" t="s">
        <v>50</v>
      </c>
      <c r="B13" t="s">
        <v>87</v>
      </c>
      <c r="C13" t="s">
        <v>351</v>
      </c>
      <c r="D13" t="s">
        <v>1</v>
      </c>
      <c r="E13">
        <v>27</v>
      </c>
      <c r="F13" t="s">
        <v>295</v>
      </c>
      <c r="G13" t="s">
        <v>44</v>
      </c>
      <c r="H13" s="2">
        <v>65732</v>
      </c>
      <c r="I13" s="1" t="s">
        <v>1059</v>
      </c>
      <c r="J13" s="3" t="s">
        <v>1059</v>
      </c>
      <c r="K13" t="s">
        <v>51</v>
      </c>
      <c r="L13" t="s">
        <v>49</v>
      </c>
      <c r="M13">
        <v>3</v>
      </c>
      <c r="N13" t="str" cm="1">
        <f t="array" ref="N13">_xlfn.IFS(AND(24&lt;=Table1[[#This Row],[Age]],Table1[[#This Row],[Age]]&lt;=30),"24-30",Table1[[#This Row],[Age]]&lt;=35,"31-35",Table1[[#This Row],[Age]]&lt;=40,"36-40",Table1[[#This Row],[Age]]&lt;=45,"41-45",Table1[[#This Row],[Age]]&lt;=50,"46-50",Table1[[#This Row],[Age]]&lt;=55,"51-55",Table1[[#This Row],[Age]]&lt;=60,"56-60",Table1[[#This Row],[Age]]&lt;=66,"61-66")</f>
        <v>24-30</v>
      </c>
      <c r="O13" t="s">
        <v>1077</v>
      </c>
      <c r="P13" t="str" cm="1">
        <f t="array" ref="P13">_xlfn.IFS(Table1[[#This Row],[Company Tenure]]&lt;=5,"1-5",Table1[[#This Row],[Company Tenure]]&lt;=10,"6-10",Table1[[#This Row],[Company Tenure]]&lt;=15,"11-15",Table1[[#This Row],[Company Tenure]]&lt;=20, "15-20",Table1[[#This Row],[Company Tenure]]&gt;20,"Above 20")</f>
        <v>Above 20</v>
      </c>
    </row>
    <row r="14" spans="1:20" x14ac:dyDescent="0.25">
      <c r="A14" t="s">
        <v>52</v>
      </c>
      <c r="B14" t="s">
        <v>316</v>
      </c>
      <c r="C14" t="s">
        <v>351</v>
      </c>
      <c r="D14" t="s">
        <v>8</v>
      </c>
      <c r="E14">
        <v>40</v>
      </c>
      <c r="F14" t="s">
        <v>154</v>
      </c>
      <c r="G14" t="s">
        <v>63</v>
      </c>
      <c r="H14" s="2">
        <v>48744</v>
      </c>
      <c r="I14" s="1">
        <v>44473</v>
      </c>
      <c r="J14" s="3">
        <v>5</v>
      </c>
      <c r="K14" t="s">
        <v>53</v>
      </c>
      <c r="L14" t="s">
        <v>54</v>
      </c>
      <c r="M14">
        <v>5</v>
      </c>
      <c r="N14" t="str" cm="1">
        <f t="array" ref="N14">_xlfn.IFS(AND(24&lt;=Table1[[#This Row],[Age]],Table1[[#This Row],[Age]]&lt;=30),"24-30",Table1[[#This Row],[Age]]&lt;=35,"31-35",Table1[[#This Row],[Age]]&lt;=40,"36-40",Table1[[#This Row],[Age]]&lt;=45,"41-45",Table1[[#This Row],[Age]]&lt;=50,"46-50",Table1[[#This Row],[Age]]&lt;=55,"51-55",Table1[[#This Row],[Age]]&lt;=60,"56-60",Table1[[#This Row],[Age]]&lt;=66,"61-66")</f>
        <v>36-40</v>
      </c>
      <c r="O14" t="s">
        <v>1076</v>
      </c>
      <c r="P14" t="str" cm="1">
        <f t="array" ref="P14">_xlfn.IFS(Table1[[#This Row],[Company Tenure]]&lt;=5,"1-5",Table1[[#This Row],[Company Tenure]]&lt;=10,"6-10",Table1[[#This Row],[Company Tenure]]&lt;=15,"11-15",Table1[[#This Row],[Company Tenure]]&lt;=20, "15-20",Table1[[#This Row],[Company Tenure]]&gt;20,"Above 20")</f>
        <v>1-5</v>
      </c>
    </row>
    <row r="15" spans="1:20" x14ac:dyDescent="0.25">
      <c r="A15" t="s">
        <v>55</v>
      </c>
      <c r="B15" t="s">
        <v>56</v>
      </c>
      <c r="C15" t="s">
        <v>589</v>
      </c>
      <c r="D15" t="s">
        <v>1</v>
      </c>
      <c r="E15">
        <v>38</v>
      </c>
      <c r="F15" t="s">
        <v>133</v>
      </c>
      <c r="G15" t="s">
        <v>2</v>
      </c>
      <c r="H15" s="2">
        <v>83027</v>
      </c>
      <c r="I15" s="1">
        <v>45420</v>
      </c>
      <c r="J15" s="3">
        <v>2</v>
      </c>
      <c r="K15" t="s">
        <v>57</v>
      </c>
      <c r="L15" t="s">
        <v>14</v>
      </c>
      <c r="M15">
        <v>3</v>
      </c>
      <c r="N15" t="str" cm="1">
        <f t="array" ref="N15">_xlfn.IFS(AND(24&lt;=Table1[[#This Row],[Age]],Table1[[#This Row],[Age]]&lt;=30),"24-30",Table1[[#This Row],[Age]]&lt;=35,"31-35",Table1[[#This Row],[Age]]&lt;=40,"36-40",Table1[[#This Row],[Age]]&lt;=45,"41-45",Table1[[#This Row],[Age]]&lt;=50,"46-50",Table1[[#This Row],[Age]]&lt;=55,"51-55",Table1[[#This Row],[Age]]&lt;=60,"56-60",Table1[[#This Row],[Age]]&lt;=66,"61-66")</f>
        <v>36-40</v>
      </c>
      <c r="O15" t="s">
        <v>1077</v>
      </c>
      <c r="P15" t="str" cm="1">
        <f t="array" ref="P15">_xlfn.IFS(Table1[[#This Row],[Company Tenure]]&lt;=5,"1-5",Table1[[#This Row],[Company Tenure]]&lt;=10,"6-10",Table1[[#This Row],[Company Tenure]]&lt;=15,"11-15",Table1[[#This Row],[Company Tenure]]&lt;=20, "15-20",Table1[[#This Row],[Company Tenure]]&gt;20,"Above 20")</f>
        <v>1-5</v>
      </c>
    </row>
    <row r="16" spans="1:20" x14ac:dyDescent="0.25">
      <c r="A16" t="s">
        <v>58</v>
      </c>
      <c r="B16" t="s">
        <v>16</v>
      </c>
      <c r="C16" t="s">
        <v>59</v>
      </c>
      <c r="D16" t="s">
        <v>1</v>
      </c>
      <c r="E16">
        <v>51</v>
      </c>
      <c r="F16" t="s">
        <v>36</v>
      </c>
      <c r="G16" t="s">
        <v>37</v>
      </c>
      <c r="H16" s="2">
        <v>121027</v>
      </c>
      <c r="I16" s="1">
        <v>40017</v>
      </c>
      <c r="J16" s="3">
        <v>17</v>
      </c>
      <c r="K16" t="s">
        <v>60</v>
      </c>
      <c r="L16" t="s">
        <v>28</v>
      </c>
      <c r="M16">
        <v>3</v>
      </c>
      <c r="N16" t="str" cm="1">
        <f t="array" ref="N16">_xlfn.IFS(AND(24&lt;=Table1[[#This Row],[Age]],Table1[[#This Row],[Age]]&lt;=30),"24-30",Table1[[#This Row],[Age]]&lt;=35,"31-35",Table1[[#This Row],[Age]]&lt;=40,"36-40",Table1[[#This Row],[Age]]&lt;=45,"41-45",Table1[[#This Row],[Age]]&lt;=50,"46-50",Table1[[#This Row],[Age]]&lt;=55,"51-55",Table1[[#This Row],[Age]]&lt;=60,"56-60",Table1[[#This Row],[Age]]&lt;=66,"61-66")</f>
        <v>51-55</v>
      </c>
      <c r="O16" t="s">
        <v>1074</v>
      </c>
      <c r="P16" t="str" cm="1">
        <f t="array" ref="P16">_xlfn.IFS(Table1[[#This Row],[Company Tenure]]&lt;=5,"1-5",Table1[[#This Row],[Company Tenure]]&lt;=10,"6-10",Table1[[#This Row],[Company Tenure]]&lt;=15,"11-15",Table1[[#This Row],[Company Tenure]]&lt;=20, "15-20",Table1[[#This Row],[Company Tenure]]&gt;20,"Above 20")</f>
        <v>15-20</v>
      </c>
    </row>
    <row r="17" spans="1:19" x14ac:dyDescent="0.25">
      <c r="A17" t="s">
        <v>61</v>
      </c>
      <c r="B17" t="s">
        <v>62</v>
      </c>
      <c r="C17" t="s">
        <v>452</v>
      </c>
      <c r="D17" t="s">
        <v>8</v>
      </c>
      <c r="E17">
        <v>31</v>
      </c>
      <c r="F17" t="s">
        <v>313</v>
      </c>
      <c r="G17" t="s">
        <v>63</v>
      </c>
      <c r="H17" s="2">
        <v>106159.86</v>
      </c>
      <c r="I17" s="1" t="s">
        <v>1059</v>
      </c>
      <c r="J17" s="3" t="s">
        <v>1059</v>
      </c>
      <c r="K17" t="s">
        <v>64</v>
      </c>
      <c r="L17" t="s">
        <v>65</v>
      </c>
      <c r="M17">
        <v>1</v>
      </c>
      <c r="N17" t="str" cm="1">
        <f t="array" ref="N17">_xlfn.IFS(AND(24&lt;=Table1[[#This Row],[Age]],Table1[[#This Row],[Age]]&lt;=30),"24-30",Table1[[#This Row],[Age]]&lt;=35,"31-35",Table1[[#This Row],[Age]]&lt;=40,"36-40",Table1[[#This Row],[Age]]&lt;=45,"41-45",Table1[[#This Row],[Age]]&lt;=50,"46-50",Table1[[#This Row],[Age]]&lt;=55,"51-55",Table1[[#This Row],[Age]]&lt;=60,"56-60",Table1[[#This Row],[Age]]&lt;=66,"61-66")</f>
        <v>31-35</v>
      </c>
      <c r="O17" t="s">
        <v>1074</v>
      </c>
      <c r="P17" t="str" cm="1">
        <f t="array" ref="P17">_xlfn.IFS(Table1[[#This Row],[Company Tenure]]&lt;=5,"1-5",Table1[[#This Row],[Company Tenure]]&lt;=10,"6-10",Table1[[#This Row],[Company Tenure]]&lt;=15,"11-15",Table1[[#This Row],[Company Tenure]]&lt;=20, "15-20",Table1[[#This Row],[Company Tenure]]&gt;20,"Above 20")</f>
        <v>Above 20</v>
      </c>
    </row>
    <row r="18" spans="1:19" x14ac:dyDescent="0.25">
      <c r="A18" t="s">
        <v>66</v>
      </c>
      <c r="B18" t="s">
        <v>67</v>
      </c>
      <c r="C18" t="s">
        <v>68</v>
      </c>
      <c r="D18" t="s">
        <v>23</v>
      </c>
      <c r="E18">
        <v>43</v>
      </c>
      <c r="F18" t="s">
        <v>133</v>
      </c>
      <c r="G18" t="s">
        <v>17</v>
      </c>
      <c r="H18" s="2">
        <v>56299</v>
      </c>
      <c r="I18" s="1">
        <v>41014</v>
      </c>
      <c r="J18" s="3">
        <v>14</v>
      </c>
      <c r="K18" t="s">
        <v>69</v>
      </c>
      <c r="L18" t="s">
        <v>11</v>
      </c>
      <c r="M18">
        <v>5</v>
      </c>
      <c r="N18" t="str" cm="1">
        <f t="array" ref="N18">_xlfn.IFS(AND(24&lt;=Table1[[#This Row],[Age]],Table1[[#This Row],[Age]]&lt;=30),"24-30",Table1[[#This Row],[Age]]&lt;=35,"31-35",Table1[[#This Row],[Age]]&lt;=40,"36-40",Table1[[#This Row],[Age]]&lt;=45,"41-45",Table1[[#This Row],[Age]]&lt;=50,"46-50",Table1[[#This Row],[Age]]&lt;=55,"51-55",Table1[[#This Row],[Age]]&lt;=60,"56-60",Table1[[#This Row],[Age]]&lt;=66,"61-66")</f>
        <v>41-45</v>
      </c>
      <c r="O18" t="s">
        <v>1077</v>
      </c>
      <c r="P18" t="str" cm="1">
        <f t="array" ref="P18">_xlfn.IFS(Table1[[#This Row],[Company Tenure]]&lt;=5,"1-5",Table1[[#This Row],[Company Tenure]]&lt;=10,"6-10",Table1[[#This Row],[Company Tenure]]&lt;=15,"11-15",Table1[[#This Row],[Company Tenure]]&lt;=20, "15-20",Table1[[#This Row],[Company Tenure]]&gt;20,"Above 20")</f>
        <v>11-15</v>
      </c>
    </row>
    <row r="19" spans="1:19" x14ac:dyDescent="0.25">
      <c r="A19" t="s">
        <v>70</v>
      </c>
      <c r="B19" t="s">
        <v>316</v>
      </c>
      <c r="C19" t="s">
        <v>485</v>
      </c>
      <c r="D19" t="s">
        <v>1</v>
      </c>
      <c r="E19">
        <v>24</v>
      </c>
      <c r="F19" t="s">
        <v>295</v>
      </c>
      <c r="G19" t="s">
        <v>2</v>
      </c>
      <c r="H19" s="2">
        <v>83393</v>
      </c>
      <c r="I19" s="1">
        <v>45321</v>
      </c>
      <c r="J19" s="3">
        <v>2</v>
      </c>
      <c r="K19" t="s">
        <v>71</v>
      </c>
      <c r="L19" t="s">
        <v>28</v>
      </c>
      <c r="M19">
        <v>3</v>
      </c>
      <c r="N19" t="str" cm="1">
        <f t="array" ref="N19">_xlfn.IFS(AND(24&lt;=Table1[[#This Row],[Age]],Table1[[#This Row],[Age]]&lt;=30),"24-30",Table1[[#This Row],[Age]]&lt;=35,"31-35",Table1[[#This Row],[Age]]&lt;=40,"36-40",Table1[[#This Row],[Age]]&lt;=45,"41-45",Table1[[#This Row],[Age]]&lt;=50,"46-50",Table1[[#This Row],[Age]]&lt;=55,"51-55",Table1[[#This Row],[Age]]&lt;=60,"56-60",Table1[[#This Row],[Age]]&lt;=66,"61-66")</f>
        <v>24-30</v>
      </c>
      <c r="O19" t="s">
        <v>1077</v>
      </c>
      <c r="P19" t="str" cm="1">
        <f t="array" ref="P19">_xlfn.IFS(Table1[[#This Row],[Company Tenure]]&lt;=5,"1-5",Table1[[#This Row],[Company Tenure]]&lt;=10,"6-10",Table1[[#This Row],[Company Tenure]]&lt;=15,"11-15",Table1[[#This Row],[Company Tenure]]&lt;=20, "15-20",Table1[[#This Row],[Company Tenure]]&gt;20,"Above 20")</f>
        <v>1-5</v>
      </c>
      <c r="S19" s="1"/>
    </row>
    <row r="20" spans="1:19" x14ac:dyDescent="0.25">
      <c r="A20" t="s">
        <v>72</v>
      </c>
      <c r="B20" t="s">
        <v>73</v>
      </c>
      <c r="C20" t="s">
        <v>485</v>
      </c>
      <c r="D20" t="s">
        <v>1</v>
      </c>
      <c r="E20">
        <v>33</v>
      </c>
      <c r="F20" t="s">
        <v>295</v>
      </c>
      <c r="G20" t="s">
        <v>63</v>
      </c>
      <c r="H20" s="2">
        <v>77770.5</v>
      </c>
      <c r="I20" s="1">
        <v>42209</v>
      </c>
      <c r="J20" s="3">
        <v>11</v>
      </c>
      <c r="K20" t="s">
        <v>74</v>
      </c>
      <c r="L20" t="s">
        <v>49</v>
      </c>
      <c r="M20">
        <v>4</v>
      </c>
      <c r="N20" t="str" cm="1">
        <f t="array" ref="N20">_xlfn.IFS(AND(24&lt;=Table1[[#This Row],[Age]],Table1[[#This Row],[Age]]&lt;=30),"24-30",Table1[[#This Row],[Age]]&lt;=35,"31-35",Table1[[#This Row],[Age]]&lt;=40,"36-40",Table1[[#This Row],[Age]]&lt;=45,"41-45",Table1[[#This Row],[Age]]&lt;=50,"46-50",Table1[[#This Row],[Age]]&lt;=55,"51-55",Table1[[#This Row],[Age]]&lt;=60,"56-60",Table1[[#This Row],[Age]]&lt;=66,"61-66")</f>
        <v>31-35</v>
      </c>
      <c r="O20" t="s">
        <v>1077</v>
      </c>
      <c r="P20" t="str" cm="1">
        <f t="array" ref="P20">_xlfn.IFS(Table1[[#This Row],[Company Tenure]]&lt;=5,"1-5",Table1[[#This Row],[Company Tenure]]&lt;=10,"6-10",Table1[[#This Row],[Company Tenure]]&lt;=15,"11-15",Table1[[#This Row],[Company Tenure]]&lt;=20, "15-20",Table1[[#This Row],[Company Tenure]]&gt;20,"Above 20")</f>
        <v>11-15</v>
      </c>
      <c r="S20" s="1"/>
    </row>
    <row r="21" spans="1:19" x14ac:dyDescent="0.25">
      <c r="A21" t="s">
        <v>75</v>
      </c>
      <c r="B21" t="s">
        <v>451</v>
      </c>
      <c r="C21" t="s">
        <v>76</v>
      </c>
      <c r="D21" t="s">
        <v>23</v>
      </c>
      <c r="E21">
        <v>42</v>
      </c>
      <c r="F21" t="s">
        <v>133</v>
      </c>
      <c r="G21" t="s">
        <v>37</v>
      </c>
      <c r="H21" s="2">
        <v>66972</v>
      </c>
      <c r="I21" s="1">
        <v>39127</v>
      </c>
      <c r="J21" s="3">
        <v>19</v>
      </c>
      <c r="K21" t="s">
        <v>77</v>
      </c>
      <c r="L21" t="s">
        <v>39</v>
      </c>
      <c r="M21">
        <v>4</v>
      </c>
      <c r="N21" t="str" cm="1">
        <f t="array" ref="N21">_xlfn.IFS(AND(24&lt;=Table1[[#This Row],[Age]],Table1[[#This Row],[Age]]&lt;=30),"24-30",Table1[[#This Row],[Age]]&lt;=35,"31-35",Table1[[#This Row],[Age]]&lt;=40,"36-40",Table1[[#This Row],[Age]]&lt;=45,"41-45",Table1[[#This Row],[Age]]&lt;=50,"46-50",Table1[[#This Row],[Age]]&lt;=55,"51-55",Table1[[#This Row],[Age]]&lt;=60,"56-60",Table1[[#This Row],[Age]]&lt;=66,"61-66")</f>
        <v>41-45</v>
      </c>
      <c r="O21" t="s">
        <v>1077</v>
      </c>
      <c r="P21" t="str" cm="1">
        <f t="array" ref="P21">_xlfn.IFS(Table1[[#This Row],[Company Tenure]]&lt;=5,"1-5",Table1[[#This Row],[Company Tenure]]&lt;=10,"6-10",Table1[[#This Row],[Company Tenure]]&lt;=15,"11-15",Table1[[#This Row],[Company Tenure]]&lt;=20, "15-20",Table1[[#This Row],[Company Tenure]]&gt;20,"Above 20")</f>
        <v>15-20</v>
      </c>
    </row>
    <row r="22" spans="1:19" x14ac:dyDescent="0.25">
      <c r="A22" t="s">
        <v>78</v>
      </c>
      <c r="B22" t="s">
        <v>79</v>
      </c>
      <c r="C22" t="s">
        <v>80</v>
      </c>
      <c r="D22" t="s">
        <v>23</v>
      </c>
      <c r="E22">
        <v>47</v>
      </c>
      <c r="F22" t="s">
        <v>1066</v>
      </c>
      <c r="G22" t="s">
        <v>37</v>
      </c>
      <c r="H22" s="2">
        <v>56984</v>
      </c>
      <c r="I22" s="1">
        <v>42410</v>
      </c>
      <c r="J22" s="3">
        <v>10</v>
      </c>
      <c r="K22" t="s">
        <v>81</v>
      </c>
      <c r="L22" t="s">
        <v>19</v>
      </c>
      <c r="M22">
        <v>2</v>
      </c>
      <c r="N22" t="str" cm="1">
        <f t="array" ref="N22">_xlfn.IFS(AND(24&lt;=Table1[[#This Row],[Age]],Table1[[#This Row],[Age]]&lt;=30),"24-30",Table1[[#This Row],[Age]]&lt;=35,"31-35",Table1[[#This Row],[Age]]&lt;=40,"36-40",Table1[[#This Row],[Age]]&lt;=45,"41-45",Table1[[#This Row],[Age]]&lt;=50,"46-50",Table1[[#This Row],[Age]]&lt;=55,"51-55",Table1[[#This Row],[Age]]&lt;=60,"56-60",Table1[[#This Row],[Age]]&lt;=66,"61-66")</f>
        <v>46-50</v>
      </c>
      <c r="O22" t="s">
        <v>1077</v>
      </c>
      <c r="P22" t="str" cm="1">
        <f t="array" ref="P22">_xlfn.IFS(Table1[[#This Row],[Company Tenure]]&lt;=5,"1-5",Table1[[#This Row],[Company Tenure]]&lt;=10,"6-10",Table1[[#This Row],[Company Tenure]]&lt;=15,"11-15",Table1[[#This Row],[Company Tenure]]&lt;=20, "15-20",Table1[[#This Row],[Company Tenure]]&gt;20,"Above 20")</f>
        <v>6-10</v>
      </c>
    </row>
    <row r="23" spans="1:19" x14ac:dyDescent="0.25">
      <c r="A23" t="s">
        <v>82</v>
      </c>
      <c r="B23" t="s">
        <v>6</v>
      </c>
      <c r="C23" t="s">
        <v>83</v>
      </c>
      <c r="D23" t="s">
        <v>8</v>
      </c>
      <c r="E23">
        <v>30</v>
      </c>
      <c r="F23" t="s">
        <v>313</v>
      </c>
      <c r="G23" t="s">
        <v>2</v>
      </c>
      <c r="H23" s="2">
        <v>139045</v>
      </c>
      <c r="I23" s="1" t="s">
        <v>1059</v>
      </c>
      <c r="J23" s="3" t="s">
        <v>1059</v>
      </c>
      <c r="K23" t="s">
        <v>84</v>
      </c>
      <c r="L23" t="s">
        <v>85</v>
      </c>
      <c r="M23">
        <v>4</v>
      </c>
      <c r="N23" t="str" cm="1">
        <f t="array" ref="N23">_xlfn.IFS(AND(24&lt;=Table1[[#This Row],[Age]],Table1[[#This Row],[Age]]&lt;=30),"24-30",Table1[[#This Row],[Age]]&lt;=35,"31-35",Table1[[#This Row],[Age]]&lt;=40,"36-40",Table1[[#This Row],[Age]]&lt;=45,"41-45",Table1[[#This Row],[Age]]&lt;=50,"46-50",Table1[[#This Row],[Age]]&lt;=55,"51-55",Table1[[#This Row],[Age]]&lt;=60,"56-60",Table1[[#This Row],[Age]]&lt;=66,"61-66")</f>
        <v>24-30</v>
      </c>
      <c r="O23" t="s">
        <v>1074</v>
      </c>
      <c r="P23" t="str" cm="1">
        <f t="array" ref="P23">_xlfn.IFS(Table1[[#This Row],[Company Tenure]]&lt;=5,"1-5",Table1[[#This Row],[Company Tenure]]&lt;=10,"6-10",Table1[[#This Row],[Company Tenure]]&lt;=15,"11-15",Table1[[#This Row],[Company Tenure]]&lt;=20, "15-20",Table1[[#This Row],[Company Tenure]]&gt;20,"Above 20")</f>
        <v>Above 20</v>
      </c>
    </row>
    <row r="24" spans="1:19" x14ac:dyDescent="0.25">
      <c r="A24" t="s">
        <v>86</v>
      </c>
      <c r="B24" t="s">
        <v>87</v>
      </c>
      <c r="C24" t="s">
        <v>88</v>
      </c>
      <c r="D24" t="s">
        <v>1</v>
      </c>
      <c r="E24">
        <v>45</v>
      </c>
      <c r="F24" t="s">
        <v>32</v>
      </c>
      <c r="G24" t="s">
        <v>63</v>
      </c>
      <c r="H24" s="2">
        <v>76764</v>
      </c>
      <c r="I24" s="1">
        <v>41807</v>
      </c>
      <c r="J24" s="3">
        <v>12</v>
      </c>
      <c r="K24" t="s">
        <v>89</v>
      </c>
      <c r="L24" t="s">
        <v>65</v>
      </c>
      <c r="M24">
        <v>3</v>
      </c>
      <c r="N24" t="str" cm="1">
        <f t="array" ref="N24">_xlfn.IFS(AND(24&lt;=Table1[[#This Row],[Age]],Table1[[#This Row],[Age]]&lt;=30),"24-30",Table1[[#This Row],[Age]]&lt;=35,"31-35",Table1[[#This Row],[Age]]&lt;=40,"36-40",Table1[[#This Row],[Age]]&lt;=45,"41-45",Table1[[#This Row],[Age]]&lt;=50,"46-50",Table1[[#This Row],[Age]]&lt;=55,"51-55",Table1[[#This Row],[Age]]&lt;=60,"56-60",Table1[[#This Row],[Age]]&lt;=66,"61-66")</f>
        <v>41-45</v>
      </c>
      <c r="O24" t="s">
        <v>1077</v>
      </c>
      <c r="P24" t="str" cm="1">
        <f t="array" ref="P24">_xlfn.IFS(Table1[[#This Row],[Company Tenure]]&lt;=5,"1-5",Table1[[#This Row],[Company Tenure]]&lt;=10,"6-10",Table1[[#This Row],[Company Tenure]]&lt;=15,"11-15",Table1[[#This Row],[Company Tenure]]&lt;=20, "15-20",Table1[[#This Row],[Company Tenure]]&gt;20,"Above 20")</f>
        <v>11-15</v>
      </c>
      <c r="Q24" s="1"/>
    </row>
    <row r="25" spans="1:19" x14ac:dyDescent="0.25">
      <c r="A25" t="s">
        <v>90</v>
      </c>
      <c r="B25" t="s">
        <v>56</v>
      </c>
      <c r="C25" t="s">
        <v>91</v>
      </c>
      <c r="D25" t="s">
        <v>1</v>
      </c>
      <c r="E25">
        <v>32</v>
      </c>
      <c r="F25" t="s">
        <v>1066</v>
      </c>
      <c r="G25" t="s">
        <v>17</v>
      </c>
      <c r="H25" s="2">
        <v>88558</v>
      </c>
      <c r="I25" s="1">
        <v>43191</v>
      </c>
      <c r="J25" s="3">
        <v>8</v>
      </c>
      <c r="K25" t="s">
        <v>92</v>
      </c>
      <c r="L25" t="s">
        <v>4</v>
      </c>
      <c r="M25">
        <v>3</v>
      </c>
      <c r="N25" t="str" cm="1">
        <f t="array" ref="N25">_xlfn.IFS(AND(24&lt;=Table1[[#This Row],[Age]],Table1[[#This Row],[Age]]&lt;=30),"24-30",Table1[[#This Row],[Age]]&lt;=35,"31-35",Table1[[#This Row],[Age]]&lt;=40,"36-40",Table1[[#This Row],[Age]]&lt;=45,"41-45",Table1[[#This Row],[Age]]&lt;=50,"46-50",Table1[[#This Row],[Age]]&lt;=55,"51-55",Table1[[#This Row],[Age]]&lt;=60,"56-60",Table1[[#This Row],[Age]]&lt;=66,"61-66")</f>
        <v>31-35</v>
      </c>
      <c r="O25" t="s">
        <v>1077</v>
      </c>
      <c r="P25" t="str" cm="1">
        <f t="array" ref="P25">_xlfn.IFS(Table1[[#This Row],[Company Tenure]]&lt;=5,"1-5",Table1[[#This Row],[Company Tenure]]&lt;=10,"6-10",Table1[[#This Row],[Company Tenure]]&lt;=15,"11-15",Table1[[#This Row],[Company Tenure]]&lt;=20, "15-20",Table1[[#This Row],[Company Tenure]]&gt;20,"Above 20")</f>
        <v>6-10</v>
      </c>
      <c r="Q25" s="1"/>
      <c r="S25" s="1"/>
    </row>
    <row r="26" spans="1:19" x14ac:dyDescent="0.25">
      <c r="A26" t="s">
        <v>93</v>
      </c>
      <c r="B26" t="s">
        <v>94</v>
      </c>
      <c r="C26" t="s">
        <v>124</v>
      </c>
      <c r="D26" t="s">
        <v>8</v>
      </c>
      <c r="E26">
        <v>36</v>
      </c>
      <c r="F26" t="s">
        <v>1066</v>
      </c>
      <c r="G26" t="s">
        <v>63</v>
      </c>
      <c r="H26" s="2">
        <v>56678</v>
      </c>
      <c r="I26" s="1">
        <v>43786</v>
      </c>
      <c r="J26" s="3">
        <v>6</v>
      </c>
      <c r="K26" t="s">
        <v>95</v>
      </c>
      <c r="L26" t="s">
        <v>39</v>
      </c>
      <c r="M26">
        <v>4</v>
      </c>
      <c r="N26" t="str" cm="1">
        <f t="array" ref="N26">_xlfn.IFS(AND(24&lt;=Table1[[#This Row],[Age]],Table1[[#This Row],[Age]]&lt;=30),"24-30",Table1[[#This Row],[Age]]&lt;=35,"31-35",Table1[[#This Row],[Age]]&lt;=40,"36-40",Table1[[#This Row],[Age]]&lt;=45,"41-45",Table1[[#This Row],[Age]]&lt;=50,"46-50",Table1[[#This Row],[Age]]&lt;=55,"51-55",Table1[[#This Row],[Age]]&lt;=60,"56-60",Table1[[#This Row],[Age]]&lt;=66,"61-66")</f>
        <v>36-40</v>
      </c>
      <c r="O26" t="s">
        <v>1077</v>
      </c>
      <c r="P26" t="str" cm="1">
        <f t="array" ref="P26">_xlfn.IFS(Table1[[#This Row],[Company Tenure]]&lt;=5,"1-5",Table1[[#This Row],[Company Tenure]]&lt;=10,"6-10",Table1[[#This Row],[Company Tenure]]&lt;=15,"11-15",Table1[[#This Row],[Company Tenure]]&lt;=20, "15-20",Table1[[#This Row],[Company Tenure]]&gt;20,"Above 20")</f>
        <v>6-10</v>
      </c>
    </row>
    <row r="27" spans="1:19" x14ac:dyDescent="0.25">
      <c r="A27" t="s">
        <v>96</v>
      </c>
      <c r="B27" t="s">
        <v>469</v>
      </c>
      <c r="C27" t="s">
        <v>269</v>
      </c>
      <c r="D27" t="s">
        <v>1</v>
      </c>
      <c r="E27">
        <v>45</v>
      </c>
      <c r="F27" t="s">
        <v>142</v>
      </c>
      <c r="G27" t="s">
        <v>44</v>
      </c>
      <c r="H27" s="2">
        <v>52951.4</v>
      </c>
      <c r="I27" s="1">
        <v>41024</v>
      </c>
      <c r="J27" s="3">
        <v>14</v>
      </c>
      <c r="K27" t="s">
        <v>97</v>
      </c>
      <c r="L27" t="s">
        <v>85</v>
      </c>
      <c r="M27">
        <v>3</v>
      </c>
      <c r="N27" t="str" cm="1">
        <f t="array" ref="N27">_xlfn.IFS(AND(24&lt;=Table1[[#This Row],[Age]],Table1[[#This Row],[Age]]&lt;=30),"24-30",Table1[[#This Row],[Age]]&lt;=35,"31-35",Table1[[#This Row],[Age]]&lt;=40,"36-40",Table1[[#This Row],[Age]]&lt;=45,"41-45",Table1[[#This Row],[Age]]&lt;=50,"46-50",Table1[[#This Row],[Age]]&lt;=55,"51-55",Table1[[#This Row],[Age]]&lt;=60,"56-60",Table1[[#This Row],[Age]]&lt;=66,"61-66")</f>
        <v>41-45</v>
      </c>
      <c r="O27" t="s">
        <v>1077</v>
      </c>
      <c r="P27" t="str" cm="1">
        <f t="array" ref="P27">_xlfn.IFS(Table1[[#This Row],[Company Tenure]]&lt;=5,"1-5",Table1[[#This Row],[Company Tenure]]&lt;=10,"6-10",Table1[[#This Row],[Company Tenure]]&lt;=15,"11-15",Table1[[#This Row],[Company Tenure]]&lt;=20, "15-20",Table1[[#This Row],[Company Tenure]]&gt;20,"Above 20")</f>
        <v>11-15</v>
      </c>
    </row>
    <row r="28" spans="1:19" x14ac:dyDescent="0.25">
      <c r="A28" t="s">
        <v>98</v>
      </c>
      <c r="B28" t="s">
        <v>99</v>
      </c>
      <c r="C28" t="s">
        <v>222</v>
      </c>
      <c r="D28" t="s">
        <v>8</v>
      </c>
      <c r="E28">
        <v>56</v>
      </c>
      <c r="F28" t="s">
        <v>133</v>
      </c>
      <c r="G28" t="s">
        <v>100</v>
      </c>
      <c r="H28" s="2">
        <v>52668</v>
      </c>
      <c r="I28" s="1">
        <v>45063</v>
      </c>
      <c r="J28" s="3">
        <v>3</v>
      </c>
      <c r="K28" t="s">
        <v>101</v>
      </c>
      <c r="L28" t="s">
        <v>25</v>
      </c>
      <c r="M28">
        <v>4</v>
      </c>
      <c r="N28" t="str" cm="1">
        <f t="array" ref="N28">_xlfn.IFS(AND(24&lt;=Table1[[#This Row],[Age]],Table1[[#This Row],[Age]]&lt;=30),"24-30",Table1[[#This Row],[Age]]&lt;=35,"31-35",Table1[[#This Row],[Age]]&lt;=40,"36-40",Table1[[#This Row],[Age]]&lt;=45,"41-45",Table1[[#This Row],[Age]]&lt;=50,"46-50",Table1[[#This Row],[Age]]&lt;=55,"51-55",Table1[[#This Row],[Age]]&lt;=60,"56-60",Table1[[#This Row],[Age]]&lt;=66,"61-66")</f>
        <v>56-60</v>
      </c>
      <c r="O28" t="s">
        <v>1077</v>
      </c>
      <c r="P28" t="str" cm="1">
        <f t="array" ref="P28">_xlfn.IFS(Table1[[#This Row],[Company Tenure]]&lt;=5,"1-5",Table1[[#This Row],[Company Tenure]]&lt;=10,"6-10",Table1[[#This Row],[Company Tenure]]&lt;=15,"11-15",Table1[[#This Row],[Company Tenure]]&lt;=20, "15-20",Table1[[#This Row],[Company Tenure]]&gt;20,"Above 20")</f>
        <v>1-5</v>
      </c>
    </row>
    <row r="29" spans="1:19" x14ac:dyDescent="0.25">
      <c r="A29" t="s">
        <v>102</v>
      </c>
      <c r="B29" t="s">
        <v>103</v>
      </c>
      <c r="C29" t="s">
        <v>104</v>
      </c>
      <c r="D29" t="s">
        <v>23</v>
      </c>
      <c r="E29">
        <v>53</v>
      </c>
      <c r="F29" t="s">
        <v>154</v>
      </c>
      <c r="G29" t="s">
        <v>105</v>
      </c>
      <c r="H29" s="2">
        <v>70531</v>
      </c>
      <c r="I29" s="1" t="s">
        <v>1059</v>
      </c>
      <c r="J29" s="3" t="s">
        <v>1059</v>
      </c>
      <c r="K29" t="s">
        <v>106</v>
      </c>
      <c r="L29" t="s">
        <v>107</v>
      </c>
      <c r="M29">
        <v>3</v>
      </c>
      <c r="N29" t="str" cm="1">
        <f t="array" ref="N29">_xlfn.IFS(AND(24&lt;=Table1[[#This Row],[Age]],Table1[[#This Row],[Age]]&lt;=30),"24-30",Table1[[#This Row],[Age]]&lt;=35,"31-35",Table1[[#This Row],[Age]]&lt;=40,"36-40",Table1[[#This Row],[Age]]&lt;=45,"41-45",Table1[[#This Row],[Age]]&lt;=50,"46-50",Table1[[#This Row],[Age]]&lt;=55,"51-55",Table1[[#This Row],[Age]]&lt;=60,"56-60",Table1[[#This Row],[Age]]&lt;=66,"61-66")</f>
        <v>51-55</v>
      </c>
      <c r="O29" t="s">
        <v>1077</v>
      </c>
      <c r="P29" t="str" cm="1">
        <f t="array" ref="P29">_xlfn.IFS(Table1[[#This Row],[Company Tenure]]&lt;=5,"1-5",Table1[[#This Row],[Company Tenure]]&lt;=10,"6-10",Table1[[#This Row],[Company Tenure]]&lt;=15,"11-15",Table1[[#This Row],[Company Tenure]]&lt;=20, "15-20",Table1[[#This Row],[Company Tenure]]&gt;20,"Above 20")</f>
        <v>Above 20</v>
      </c>
    </row>
    <row r="30" spans="1:19" x14ac:dyDescent="0.25">
      <c r="A30" t="s">
        <v>108</v>
      </c>
      <c r="B30" t="s">
        <v>79</v>
      </c>
      <c r="C30" t="s">
        <v>269</v>
      </c>
      <c r="D30" t="s">
        <v>8</v>
      </c>
      <c r="E30">
        <v>41</v>
      </c>
      <c r="F30" t="s">
        <v>9</v>
      </c>
      <c r="G30" t="s">
        <v>63</v>
      </c>
      <c r="H30" s="2">
        <v>102412</v>
      </c>
      <c r="I30" s="1">
        <v>39351</v>
      </c>
      <c r="J30" s="3">
        <v>19</v>
      </c>
      <c r="K30" t="s">
        <v>109</v>
      </c>
      <c r="L30" t="s">
        <v>25</v>
      </c>
      <c r="M30">
        <v>3</v>
      </c>
      <c r="N30" t="str" cm="1">
        <f t="array" ref="N30">_xlfn.IFS(AND(24&lt;=Table1[[#This Row],[Age]],Table1[[#This Row],[Age]]&lt;=30),"24-30",Table1[[#This Row],[Age]]&lt;=35,"31-35",Table1[[#This Row],[Age]]&lt;=40,"36-40",Table1[[#This Row],[Age]]&lt;=45,"41-45",Table1[[#This Row],[Age]]&lt;=50,"46-50",Table1[[#This Row],[Age]]&lt;=55,"51-55",Table1[[#This Row],[Age]]&lt;=60,"56-60",Table1[[#This Row],[Age]]&lt;=66,"61-66")</f>
        <v>41-45</v>
      </c>
      <c r="O30" t="s">
        <v>1074</v>
      </c>
      <c r="P30" t="str" cm="1">
        <f t="array" ref="P30">_xlfn.IFS(Table1[[#This Row],[Company Tenure]]&lt;=5,"1-5",Table1[[#This Row],[Company Tenure]]&lt;=10,"6-10",Table1[[#This Row],[Company Tenure]]&lt;=15,"11-15",Table1[[#This Row],[Company Tenure]]&lt;=20, "15-20",Table1[[#This Row],[Company Tenure]]&gt;20,"Above 20")</f>
        <v>15-20</v>
      </c>
    </row>
    <row r="31" spans="1:19" x14ac:dyDescent="0.25">
      <c r="A31" t="s">
        <v>110</v>
      </c>
      <c r="B31" t="s">
        <v>132</v>
      </c>
      <c r="C31" t="s">
        <v>799</v>
      </c>
      <c r="D31" t="s">
        <v>8</v>
      </c>
      <c r="E31">
        <v>45</v>
      </c>
      <c r="F31" t="s">
        <v>203</v>
      </c>
      <c r="G31" t="s">
        <v>44</v>
      </c>
      <c r="H31" s="2">
        <v>54430</v>
      </c>
      <c r="I31" s="1">
        <v>41121</v>
      </c>
      <c r="J31" s="3">
        <v>14</v>
      </c>
      <c r="K31" t="s">
        <v>111</v>
      </c>
      <c r="L31" t="s">
        <v>49</v>
      </c>
      <c r="M31">
        <v>5</v>
      </c>
      <c r="N31" t="str" cm="1">
        <f t="array" ref="N31">_xlfn.IFS(AND(24&lt;=Table1[[#This Row],[Age]],Table1[[#This Row],[Age]]&lt;=30),"24-30",Table1[[#This Row],[Age]]&lt;=35,"31-35",Table1[[#This Row],[Age]]&lt;=40,"36-40",Table1[[#This Row],[Age]]&lt;=45,"41-45",Table1[[#This Row],[Age]]&lt;=50,"46-50",Table1[[#This Row],[Age]]&lt;=55,"51-55",Table1[[#This Row],[Age]]&lt;=60,"56-60",Table1[[#This Row],[Age]]&lt;=66,"61-66")</f>
        <v>41-45</v>
      </c>
      <c r="O31" t="s">
        <v>1077</v>
      </c>
      <c r="P31" t="str" cm="1">
        <f t="array" ref="P31">_xlfn.IFS(Table1[[#This Row],[Company Tenure]]&lt;=5,"1-5",Table1[[#This Row],[Company Tenure]]&lt;=10,"6-10",Table1[[#This Row],[Company Tenure]]&lt;=15,"11-15",Table1[[#This Row],[Company Tenure]]&lt;=20, "15-20",Table1[[#This Row],[Company Tenure]]&gt;20,"Above 20")</f>
        <v>11-15</v>
      </c>
    </row>
    <row r="32" spans="1:19" x14ac:dyDescent="0.25">
      <c r="A32" t="s">
        <v>112</v>
      </c>
      <c r="B32" t="s">
        <v>334</v>
      </c>
      <c r="C32" t="s">
        <v>83</v>
      </c>
      <c r="D32" t="s">
        <v>23</v>
      </c>
      <c r="E32">
        <v>54</v>
      </c>
      <c r="F32" t="s">
        <v>154</v>
      </c>
      <c r="G32" t="s">
        <v>63</v>
      </c>
      <c r="H32" s="2">
        <v>46991</v>
      </c>
      <c r="I32" s="1">
        <v>38882</v>
      </c>
      <c r="J32" s="3">
        <v>20</v>
      </c>
      <c r="K32" t="s">
        <v>113</v>
      </c>
      <c r="L32" t="s">
        <v>14</v>
      </c>
      <c r="M32">
        <v>1</v>
      </c>
      <c r="N32" t="str" cm="1">
        <f t="array" ref="N32">_xlfn.IFS(AND(24&lt;=Table1[[#This Row],[Age]],Table1[[#This Row],[Age]]&lt;=30),"24-30",Table1[[#This Row],[Age]]&lt;=35,"31-35",Table1[[#This Row],[Age]]&lt;=40,"36-40",Table1[[#This Row],[Age]]&lt;=45,"41-45",Table1[[#This Row],[Age]]&lt;=50,"46-50",Table1[[#This Row],[Age]]&lt;=55,"51-55",Table1[[#This Row],[Age]]&lt;=60,"56-60",Table1[[#This Row],[Age]]&lt;=66,"61-66")</f>
        <v>51-55</v>
      </c>
      <c r="O32" t="s">
        <v>1076</v>
      </c>
      <c r="P32" t="str" cm="1">
        <f t="array" ref="P32">_xlfn.IFS(Table1[[#This Row],[Company Tenure]]&lt;=5,"1-5",Table1[[#This Row],[Company Tenure]]&lt;=10,"6-10",Table1[[#This Row],[Company Tenure]]&lt;=15,"11-15",Table1[[#This Row],[Company Tenure]]&lt;=20, "15-20",Table1[[#This Row],[Company Tenure]]&gt;20,"Above 20")</f>
        <v>15-20</v>
      </c>
    </row>
    <row r="33" spans="1:16" x14ac:dyDescent="0.25">
      <c r="A33" t="s">
        <v>114</v>
      </c>
      <c r="B33" t="s">
        <v>115</v>
      </c>
      <c r="C33" t="s">
        <v>31</v>
      </c>
      <c r="D33" t="s">
        <v>23</v>
      </c>
      <c r="E33">
        <v>42</v>
      </c>
      <c r="F33" t="s">
        <v>36</v>
      </c>
      <c r="G33" t="s">
        <v>44</v>
      </c>
      <c r="H33" s="2">
        <v>88857</v>
      </c>
      <c r="I33" s="1">
        <v>39471</v>
      </c>
      <c r="J33" s="3">
        <v>18</v>
      </c>
      <c r="K33" t="s">
        <v>116</v>
      </c>
      <c r="L33" t="s">
        <v>19</v>
      </c>
      <c r="M33">
        <v>4</v>
      </c>
      <c r="N33" t="str" cm="1">
        <f t="array" ref="N33">_xlfn.IFS(AND(24&lt;=Table1[[#This Row],[Age]],Table1[[#This Row],[Age]]&lt;=30),"24-30",Table1[[#This Row],[Age]]&lt;=35,"31-35",Table1[[#This Row],[Age]]&lt;=40,"36-40",Table1[[#This Row],[Age]]&lt;=45,"41-45",Table1[[#This Row],[Age]]&lt;=50,"46-50",Table1[[#This Row],[Age]]&lt;=55,"51-55",Table1[[#This Row],[Age]]&lt;=60,"56-60",Table1[[#This Row],[Age]]&lt;=66,"61-66")</f>
        <v>41-45</v>
      </c>
      <c r="O33" t="s">
        <v>1077</v>
      </c>
      <c r="P33" t="str" cm="1">
        <f t="array" ref="P33">_xlfn.IFS(Table1[[#This Row],[Company Tenure]]&lt;=5,"1-5",Table1[[#This Row],[Company Tenure]]&lt;=10,"6-10",Table1[[#This Row],[Company Tenure]]&lt;=15,"11-15",Table1[[#This Row],[Company Tenure]]&lt;=20, "15-20",Table1[[#This Row],[Company Tenure]]&gt;20,"Above 20")</f>
        <v>15-20</v>
      </c>
    </row>
    <row r="34" spans="1:16" x14ac:dyDescent="0.25">
      <c r="A34" t="s">
        <v>117</v>
      </c>
      <c r="B34" t="s">
        <v>56</v>
      </c>
      <c r="C34" t="s">
        <v>118</v>
      </c>
      <c r="D34" t="s">
        <v>1</v>
      </c>
      <c r="E34">
        <v>42</v>
      </c>
      <c r="F34" t="s">
        <v>1066</v>
      </c>
      <c r="G34" t="s">
        <v>63</v>
      </c>
      <c r="H34" s="2">
        <v>57450</v>
      </c>
      <c r="I34" s="1">
        <v>40367</v>
      </c>
      <c r="J34" s="3">
        <v>16</v>
      </c>
      <c r="K34" t="s">
        <v>119</v>
      </c>
      <c r="L34" t="s">
        <v>120</v>
      </c>
      <c r="M34">
        <v>3</v>
      </c>
      <c r="N34" t="str" cm="1">
        <f t="array" ref="N34">_xlfn.IFS(AND(24&lt;=Table1[[#This Row],[Age]],Table1[[#This Row],[Age]]&lt;=30),"24-30",Table1[[#This Row],[Age]]&lt;=35,"31-35",Table1[[#This Row],[Age]]&lt;=40,"36-40",Table1[[#This Row],[Age]]&lt;=45,"41-45",Table1[[#This Row],[Age]]&lt;=50,"46-50",Table1[[#This Row],[Age]]&lt;=55,"51-55",Table1[[#This Row],[Age]]&lt;=60,"56-60",Table1[[#This Row],[Age]]&lt;=66,"61-66")</f>
        <v>41-45</v>
      </c>
      <c r="O34" t="s">
        <v>1077</v>
      </c>
      <c r="P34" t="str" cm="1">
        <f t="array" ref="P34">_xlfn.IFS(Table1[[#This Row],[Company Tenure]]&lt;=5,"1-5",Table1[[#This Row],[Company Tenure]]&lt;=10,"6-10",Table1[[#This Row],[Company Tenure]]&lt;=15,"11-15",Table1[[#This Row],[Company Tenure]]&lt;=20, "15-20",Table1[[#This Row],[Company Tenure]]&gt;20,"Above 20")</f>
        <v>15-20</v>
      </c>
    </row>
    <row r="35" spans="1:16" x14ac:dyDescent="0.25">
      <c r="A35" t="s">
        <v>121</v>
      </c>
      <c r="B35" t="s">
        <v>43</v>
      </c>
      <c r="C35" t="s">
        <v>351</v>
      </c>
      <c r="D35" t="s">
        <v>8</v>
      </c>
      <c r="E35">
        <v>40</v>
      </c>
      <c r="F35" t="s">
        <v>142</v>
      </c>
      <c r="G35" t="s">
        <v>37</v>
      </c>
      <c r="H35" s="2">
        <v>63628.5</v>
      </c>
      <c r="I35" s="1">
        <v>43862</v>
      </c>
      <c r="J35" s="3">
        <v>6</v>
      </c>
      <c r="K35" t="s">
        <v>122</v>
      </c>
      <c r="L35" t="s">
        <v>25</v>
      </c>
      <c r="M35">
        <v>3</v>
      </c>
      <c r="N35" t="str" cm="1">
        <f t="array" ref="N35">_xlfn.IFS(AND(24&lt;=Table1[[#This Row],[Age]],Table1[[#This Row],[Age]]&lt;=30),"24-30",Table1[[#This Row],[Age]]&lt;=35,"31-35",Table1[[#This Row],[Age]]&lt;=40,"36-40",Table1[[#This Row],[Age]]&lt;=45,"41-45",Table1[[#This Row],[Age]]&lt;=50,"46-50",Table1[[#This Row],[Age]]&lt;=55,"51-55",Table1[[#This Row],[Age]]&lt;=60,"56-60",Table1[[#This Row],[Age]]&lt;=66,"61-66")</f>
        <v>36-40</v>
      </c>
      <c r="O35" t="s">
        <v>1077</v>
      </c>
      <c r="P35" t="str" cm="1">
        <f t="array" ref="P35">_xlfn.IFS(Table1[[#This Row],[Company Tenure]]&lt;=5,"1-5",Table1[[#This Row],[Company Tenure]]&lt;=10,"6-10",Table1[[#This Row],[Company Tenure]]&lt;=15,"11-15",Table1[[#This Row],[Company Tenure]]&lt;=20, "15-20",Table1[[#This Row],[Company Tenure]]&gt;20,"Above 20")</f>
        <v>6-10</v>
      </c>
    </row>
    <row r="36" spans="1:16" x14ac:dyDescent="0.25">
      <c r="A36" t="s">
        <v>123</v>
      </c>
      <c r="B36" t="s">
        <v>87</v>
      </c>
      <c r="C36" t="s">
        <v>124</v>
      </c>
      <c r="D36" t="s">
        <v>1</v>
      </c>
      <c r="E36">
        <v>29</v>
      </c>
      <c r="F36" t="s">
        <v>142</v>
      </c>
      <c r="G36" t="s">
        <v>2</v>
      </c>
      <c r="H36" s="2">
        <v>88471.86</v>
      </c>
      <c r="I36" s="1">
        <v>43614</v>
      </c>
      <c r="J36" s="3">
        <v>7</v>
      </c>
      <c r="K36" t="s">
        <v>125</v>
      </c>
      <c r="L36" t="s">
        <v>85</v>
      </c>
      <c r="M36">
        <v>3</v>
      </c>
      <c r="N36" t="str" cm="1">
        <f t="array" ref="N36">_xlfn.IFS(AND(24&lt;=Table1[[#This Row],[Age]],Table1[[#This Row],[Age]]&lt;=30),"24-30",Table1[[#This Row],[Age]]&lt;=35,"31-35",Table1[[#This Row],[Age]]&lt;=40,"36-40",Table1[[#This Row],[Age]]&lt;=45,"41-45",Table1[[#This Row],[Age]]&lt;=50,"46-50",Table1[[#This Row],[Age]]&lt;=55,"51-55",Table1[[#This Row],[Age]]&lt;=60,"56-60",Table1[[#This Row],[Age]]&lt;=66,"61-66")</f>
        <v>24-30</v>
      </c>
      <c r="O36" t="s">
        <v>1077</v>
      </c>
      <c r="P36" t="str" cm="1">
        <f t="array" ref="P36">_xlfn.IFS(Table1[[#This Row],[Company Tenure]]&lt;=5,"1-5",Table1[[#This Row],[Company Tenure]]&lt;=10,"6-10",Table1[[#This Row],[Company Tenure]]&lt;=15,"11-15",Table1[[#This Row],[Company Tenure]]&lt;=20, "15-20",Table1[[#This Row],[Company Tenure]]&gt;20,"Above 20")</f>
        <v>6-10</v>
      </c>
    </row>
    <row r="37" spans="1:16" x14ac:dyDescent="0.25">
      <c r="A37" t="s">
        <v>126</v>
      </c>
      <c r="B37" t="s">
        <v>127</v>
      </c>
      <c r="C37" t="s">
        <v>91</v>
      </c>
      <c r="D37" t="s">
        <v>8</v>
      </c>
      <c r="E37">
        <v>50</v>
      </c>
      <c r="F37" t="s">
        <v>154</v>
      </c>
      <c r="G37" t="s">
        <v>17</v>
      </c>
      <c r="H37" s="2">
        <v>38928</v>
      </c>
      <c r="I37" s="1">
        <v>44799</v>
      </c>
      <c r="J37" s="3">
        <v>4</v>
      </c>
      <c r="K37" t="s">
        <v>128</v>
      </c>
      <c r="L37" t="s">
        <v>14</v>
      </c>
      <c r="M37">
        <v>5</v>
      </c>
      <c r="N37" t="str" cm="1">
        <f t="array" ref="N37">_xlfn.IFS(AND(24&lt;=Table1[[#This Row],[Age]],Table1[[#This Row],[Age]]&lt;=30),"24-30",Table1[[#This Row],[Age]]&lt;=35,"31-35",Table1[[#This Row],[Age]]&lt;=40,"36-40",Table1[[#This Row],[Age]]&lt;=45,"41-45",Table1[[#This Row],[Age]]&lt;=50,"46-50",Table1[[#This Row],[Age]]&lt;=55,"51-55",Table1[[#This Row],[Age]]&lt;=60,"56-60",Table1[[#This Row],[Age]]&lt;=66,"61-66")</f>
        <v>46-50</v>
      </c>
      <c r="O37" t="s">
        <v>1076</v>
      </c>
      <c r="P37" t="str" cm="1">
        <f t="array" ref="P37">_xlfn.IFS(Table1[[#This Row],[Company Tenure]]&lt;=5,"1-5",Table1[[#This Row],[Company Tenure]]&lt;=10,"6-10",Table1[[#This Row],[Company Tenure]]&lt;=15,"11-15",Table1[[#This Row],[Company Tenure]]&lt;=20, "15-20",Table1[[#This Row],[Company Tenure]]&gt;20,"Above 20")</f>
        <v>1-5</v>
      </c>
    </row>
    <row r="38" spans="1:16" x14ac:dyDescent="0.25">
      <c r="A38" t="s">
        <v>129</v>
      </c>
      <c r="B38" t="s">
        <v>401</v>
      </c>
      <c r="C38" t="s">
        <v>118</v>
      </c>
      <c r="D38" t="s">
        <v>23</v>
      </c>
      <c r="E38">
        <v>35</v>
      </c>
      <c r="F38" t="s">
        <v>1066</v>
      </c>
      <c r="G38" t="s">
        <v>37</v>
      </c>
      <c r="H38" s="2">
        <v>85797</v>
      </c>
      <c r="I38" s="1">
        <v>45017</v>
      </c>
      <c r="J38" s="3">
        <v>3</v>
      </c>
      <c r="K38" t="s">
        <v>130</v>
      </c>
      <c r="L38" t="s">
        <v>28</v>
      </c>
      <c r="M38">
        <v>2</v>
      </c>
      <c r="N38" t="str" cm="1">
        <f t="array" ref="N38">_xlfn.IFS(AND(24&lt;=Table1[[#This Row],[Age]],Table1[[#This Row],[Age]]&lt;=30),"24-30",Table1[[#This Row],[Age]]&lt;=35,"31-35",Table1[[#This Row],[Age]]&lt;=40,"36-40",Table1[[#This Row],[Age]]&lt;=45,"41-45",Table1[[#This Row],[Age]]&lt;=50,"46-50",Table1[[#This Row],[Age]]&lt;=55,"51-55",Table1[[#This Row],[Age]]&lt;=60,"56-60",Table1[[#This Row],[Age]]&lt;=66,"61-66")</f>
        <v>31-35</v>
      </c>
      <c r="O38" t="s">
        <v>1077</v>
      </c>
      <c r="P38" t="str" cm="1">
        <f t="array" ref="P38">_xlfn.IFS(Table1[[#This Row],[Company Tenure]]&lt;=5,"1-5",Table1[[#This Row],[Company Tenure]]&lt;=10,"6-10",Table1[[#This Row],[Company Tenure]]&lt;=15,"11-15",Table1[[#This Row],[Company Tenure]]&lt;=20, "15-20",Table1[[#This Row],[Company Tenure]]&gt;20,"Above 20")</f>
        <v>1-5</v>
      </c>
    </row>
    <row r="39" spans="1:16" x14ac:dyDescent="0.25">
      <c r="A39" t="s">
        <v>131</v>
      </c>
      <c r="B39" t="s">
        <v>132</v>
      </c>
      <c r="C39" t="s">
        <v>962</v>
      </c>
      <c r="D39" t="s">
        <v>8</v>
      </c>
      <c r="E39">
        <v>50</v>
      </c>
      <c r="F39" t="s">
        <v>133</v>
      </c>
      <c r="G39" t="s">
        <v>37</v>
      </c>
      <c r="H39" s="2">
        <v>61000</v>
      </c>
      <c r="I39" s="1">
        <v>40721</v>
      </c>
      <c r="J39" s="3">
        <v>15</v>
      </c>
      <c r="K39" t="s">
        <v>134</v>
      </c>
      <c r="L39" t="s">
        <v>14</v>
      </c>
      <c r="M39">
        <v>2</v>
      </c>
      <c r="N39" t="str" cm="1">
        <f t="array" ref="N39">_xlfn.IFS(AND(24&lt;=Table1[[#This Row],[Age]],Table1[[#This Row],[Age]]&lt;=30),"24-30",Table1[[#This Row],[Age]]&lt;=35,"31-35",Table1[[#This Row],[Age]]&lt;=40,"36-40",Table1[[#This Row],[Age]]&lt;=45,"41-45",Table1[[#This Row],[Age]]&lt;=50,"46-50",Table1[[#This Row],[Age]]&lt;=55,"51-55",Table1[[#This Row],[Age]]&lt;=60,"56-60",Table1[[#This Row],[Age]]&lt;=66,"61-66")</f>
        <v>46-50</v>
      </c>
      <c r="O39" t="s">
        <v>1077</v>
      </c>
      <c r="P39" t="str" cm="1">
        <f t="array" ref="P39">_xlfn.IFS(Table1[[#This Row],[Company Tenure]]&lt;=5,"1-5",Table1[[#This Row],[Company Tenure]]&lt;=10,"6-10",Table1[[#This Row],[Company Tenure]]&lt;=15,"11-15",Table1[[#This Row],[Company Tenure]]&lt;=20, "15-20",Table1[[#This Row],[Company Tenure]]&gt;20,"Above 20")</f>
        <v>11-15</v>
      </c>
    </row>
    <row r="40" spans="1:16" x14ac:dyDescent="0.25">
      <c r="A40" t="s">
        <v>135</v>
      </c>
      <c r="B40" t="s">
        <v>530</v>
      </c>
      <c r="C40" t="s">
        <v>124</v>
      </c>
      <c r="D40" t="s">
        <v>1</v>
      </c>
      <c r="E40">
        <v>53</v>
      </c>
      <c r="F40" t="s">
        <v>1066</v>
      </c>
      <c r="G40" t="s">
        <v>17</v>
      </c>
      <c r="H40" s="2">
        <v>96569</v>
      </c>
      <c r="I40" s="1">
        <v>43305</v>
      </c>
      <c r="J40" s="3">
        <v>8</v>
      </c>
      <c r="K40" t="s">
        <v>136</v>
      </c>
      <c r="L40" t="s">
        <v>120</v>
      </c>
      <c r="M40">
        <v>3</v>
      </c>
      <c r="N40" t="str" cm="1">
        <f t="array" ref="N40">_xlfn.IFS(AND(24&lt;=Table1[[#This Row],[Age]],Table1[[#This Row],[Age]]&lt;=30),"24-30",Table1[[#This Row],[Age]]&lt;=35,"31-35",Table1[[#This Row],[Age]]&lt;=40,"36-40",Table1[[#This Row],[Age]]&lt;=45,"41-45",Table1[[#This Row],[Age]]&lt;=50,"46-50",Table1[[#This Row],[Age]]&lt;=55,"51-55",Table1[[#This Row],[Age]]&lt;=60,"56-60",Table1[[#This Row],[Age]]&lt;=66,"61-66")</f>
        <v>51-55</v>
      </c>
      <c r="O40" t="s">
        <v>1077</v>
      </c>
      <c r="P40" t="str" cm="1">
        <f t="array" ref="P40">_xlfn.IFS(Table1[[#This Row],[Company Tenure]]&lt;=5,"1-5",Table1[[#This Row],[Company Tenure]]&lt;=10,"6-10",Table1[[#This Row],[Company Tenure]]&lt;=15,"11-15",Table1[[#This Row],[Company Tenure]]&lt;=20, "15-20",Table1[[#This Row],[Company Tenure]]&gt;20,"Above 20")</f>
        <v>6-10</v>
      </c>
    </row>
    <row r="41" spans="1:16" x14ac:dyDescent="0.25">
      <c r="A41" t="s">
        <v>137</v>
      </c>
      <c r="B41" t="s">
        <v>67</v>
      </c>
      <c r="C41" t="s">
        <v>138</v>
      </c>
      <c r="D41" t="s">
        <v>1</v>
      </c>
      <c r="E41">
        <v>43</v>
      </c>
      <c r="F41" t="s">
        <v>203</v>
      </c>
      <c r="G41" t="s">
        <v>63</v>
      </c>
      <c r="H41" s="2">
        <v>45563</v>
      </c>
      <c r="I41" s="1">
        <v>38647</v>
      </c>
      <c r="J41" s="3">
        <v>20</v>
      </c>
      <c r="K41" t="s">
        <v>139</v>
      </c>
      <c r="L41" t="s">
        <v>19</v>
      </c>
      <c r="M41">
        <v>3</v>
      </c>
      <c r="N41" t="str" cm="1">
        <f t="array" ref="N41">_xlfn.IFS(AND(24&lt;=Table1[[#This Row],[Age]],Table1[[#This Row],[Age]]&lt;=30),"24-30",Table1[[#This Row],[Age]]&lt;=35,"31-35",Table1[[#This Row],[Age]]&lt;=40,"36-40",Table1[[#This Row],[Age]]&lt;=45,"41-45",Table1[[#This Row],[Age]]&lt;=50,"46-50",Table1[[#This Row],[Age]]&lt;=55,"51-55",Table1[[#This Row],[Age]]&lt;=60,"56-60",Table1[[#This Row],[Age]]&lt;=66,"61-66")</f>
        <v>41-45</v>
      </c>
      <c r="O41" t="s">
        <v>1076</v>
      </c>
      <c r="P41" t="str" cm="1">
        <f t="array" ref="P41">_xlfn.IFS(Table1[[#This Row],[Company Tenure]]&lt;=5,"1-5",Table1[[#This Row],[Company Tenure]]&lt;=10,"6-10",Table1[[#This Row],[Company Tenure]]&lt;=15,"11-15",Table1[[#This Row],[Company Tenure]]&lt;=20, "15-20",Table1[[#This Row],[Company Tenure]]&gt;20,"Above 20")</f>
        <v>15-20</v>
      </c>
    </row>
    <row r="42" spans="1:16" x14ac:dyDescent="0.25">
      <c r="A42" t="s">
        <v>140</v>
      </c>
      <c r="B42" t="s">
        <v>6</v>
      </c>
      <c r="C42" t="s">
        <v>141</v>
      </c>
      <c r="D42" t="s">
        <v>1</v>
      </c>
      <c r="E42">
        <v>35</v>
      </c>
      <c r="F42" t="s">
        <v>142</v>
      </c>
      <c r="G42" t="s">
        <v>17</v>
      </c>
      <c r="H42" s="2">
        <v>63726</v>
      </c>
      <c r="I42" s="1">
        <v>41732</v>
      </c>
      <c r="J42" s="3">
        <v>12</v>
      </c>
      <c r="K42" t="s">
        <v>143</v>
      </c>
      <c r="L42" t="s">
        <v>14</v>
      </c>
      <c r="M42">
        <v>4</v>
      </c>
      <c r="N42" t="str" cm="1">
        <f t="array" ref="N42">_xlfn.IFS(AND(24&lt;=Table1[[#This Row],[Age]],Table1[[#This Row],[Age]]&lt;=30),"24-30",Table1[[#This Row],[Age]]&lt;=35,"31-35",Table1[[#This Row],[Age]]&lt;=40,"36-40",Table1[[#This Row],[Age]]&lt;=45,"41-45",Table1[[#This Row],[Age]]&lt;=50,"46-50",Table1[[#This Row],[Age]]&lt;=55,"51-55",Table1[[#This Row],[Age]]&lt;=60,"56-60",Table1[[#This Row],[Age]]&lt;=66,"61-66")</f>
        <v>31-35</v>
      </c>
      <c r="O42" t="s">
        <v>1077</v>
      </c>
      <c r="P42" t="str" cm="1">
        <f t="array" ref="P42">_xlfn.IFS(Table1[[#This Row],[Company Tenure]]&lt;=5,"1-5",Table1[[#This Row],[Company Tenure]]&lt;=10,"6-10",Table1[[#This Row],[Company Tenure]]&lt;=15,"11-15",Table1[[#This Row],[Company Tenure]]&lt;=20, "15-20",Table1[[#This Row],[Company Tenure]]&gt;20,"Above 20")</f>
        <v>11-15</v>
      </c>
    </row>
    <row r="43" spans="1:16" x14ac:dyDescent="0.25">
      <c r="A43" t="s">
        <v>144</v>
      </c>
      <c r="B43" t="s">
        <v>268</v>
      </c>
      <c r="C43" t="s">
        <v>118</v>
      </c>
      <c r="D43" t="s">
        <v>1</v>
      </c>
      <c r="E43">
        <v>51</v>
      </c>
      <c r="F43" t="s">
        <v>9</v>
      </c>
      <c r="G43" t="s">
        <v>105</v>
      </c>
      <c r="H43" s="2">
        <v>140518</v>
      </c>
      <c r="I43" s="1">
        <v>40653</v>
      </c>
      <c r="J43" s="3">
        <v>15</v>
      </c>
      <c r="K43" t="s">
        <v>145</v>
      </c>
      <c r="L43" t="s">
        <v>65</v>
      </c>
      <c r="M43">
        <v>3</v>
      </c>
      <c r="N43" t="str" cm="1">
        <f t="array" ref="N43">_xlfn.IFS(AND(24&lt;=Table1[[#This Row],[Age]],Table1[[#This Row],[Age]]&lt;=30),"24-30",Table1[[#This Row],[Age]]&lt;=35,"31-35",Table1[[#This Row],[Age]]&lt;=40,"36-40",Table1[[#This Row],[Age]]&lt;=45,"41-45",Table1[[#This Row],[Age]]&lt;=50,"46-50",Table1[[#This Row],[Age]]&lt;=55,"51-55",Table1[[#This Row],[Age]]&lt;=60,"56-60",Table1[[#This Row],[Age]]&lt;=66,"61-66")</f>
        <v>51-55</v>
      </c>
      <c r="O43" t="s">
        <v>1074</v>
      </c>
      <c r="P43" t="str" cm="1">
        <f t="array" ref="P43">_xlfn.IFS(Table1[[#This Row],[Company Tenure]]&lt;=5,"1-5",Table1[[#This Row],[Company Tenure]]&lt;=10,"6-10",Table1[[#This Row],[Company Tenure]]&lt;=15,"11-15",Table1[[#This Row],[Company Tenure]]&lt;=20, "15-20",Table1[[#This Row],[Company Tenure]]&gt;20,"Above 20")</f>
        <v>11-15</v>
      </c>
    </row>
    <row r="44" spans="1:16" x14ac:dyDescent="0.25">
      <c r="A44" t="s">
        <v>146</v>
      </c>
      <c r="B44" t="s">
        <v>62</v>
      </c>
      <c r="C44" t="s">
        <v>76</v>
      </c>
      <c r="D44" t="s">
        <v>23</v>
      </c>
      <c r="E44">
        <v>47</v>
      </c>
      <c r="F44" t="s">
        <v>203</v>
      </c>
      <c r="G44" t="s">
        <v>44</v>
      </c>
      <c r="H44" s="2">
        <v>52351.55</v>
      </c>
      <c r="I44" s="1">
        <v>41822</v>
      </c>
      <c r="J44" s="3">
        <v>12</v>
      </c>
      <c r="K44" t="s">
        <v>147</v>
      </c>
      <c r="L44" t="s">
        <v>120</v>
      </c>
      <c r="M44">
        <v>3</v>
      </c>
      <c r="N44" t="str" cm="1">
        <f t="array" ref="N44">_xlfn.IFS(AND(24&lt;=Table1[[#This Row],[Age]],Table1[[#This Row],[Age]]&lt;=30),"24-30",Table1[[#This Row],[Age]]&lt;=35,"31-35",Table1[[#This Row],[Age]]&lt;=40,"36-40",Table1[[#This Row],[Age]]&lt;=45,"41-45",Table1[[#This Row],[Age]]&lt;=50,"46-50",Table1[[#This Row],[Age]]&lt;=55,"51-55",Table1[[#This Row],[Age]]&lt;=60,"56-60",Table1[[#This Row],[Age]]&lt;=66,"61-66")</f>
        <v>46-50</v>
      </c>
      <c r="O44" t="s">
        <v>1077</v>
      </c>
      <c r="P44" t="str" cm="1">
        <f t="array" ref="P44">_xlfn.IFS(Table1[[#This Row],[Company Tenure]]&lt;=5,"1-5",Table1[[#This Row],[Company Tenure]]&lt;=10,"6-10",Table1[[#This Row],[Company Tenure]]&lt;=15,"11-15",Table1[[#This Row],[Company Tenure]]&lt;=20, "15-20",Table1[[#This Row],[Company Tenure]]&gt;20,"Above 20")</f>
        <v>11-15</v>
      </c>
    </row>
    <row r="45" spans="1:16" x14ac:dyDescent="0.25">
      <c r="A45" t="s">
        <v>148</v>
      </c>
      <c r="B45" t="s">
        <v>21</v>
      </c>
      <c r="C45" t="s">
        <v>35</v>
      </c>
      <c r="D45" t="s">
        <v>23</v>
      </c>
      <c r="E45">
        <v>38</v>
      </c>
      <c r="F45" t="s">
        <v>181</v>
      </c>
      <c r="G45" t="s">
        <v>37</v>
      </c>
      <c r="H45" s="2">
        <v>53345</v>
      </c>
      <c r="I45" s="1">
        <v>42575</v>
      </c>
      <c r="J45" s="3">
        <v>10</v>
      </c>
      <c r="K45" t="s">
        <v>149</v>
      </c>
      <c r="L45" t="s">
        <v>54</v>
      </c>
      <c r="M45">
        <v>4</v>
      </c>
      <c r="N45" t="str" cm="1">
        <f t="array" ref="N45">_xlfn.IFS(AND(24&lt;=Table1[[#This Row],[Age]],Table1[[#This Row],[Age]]&lt;=30),"24-30",Table1[[#This Row],[Age]]&lt;=35,"31-35",Table1[[#This Row],[Age]]&lt;=40,"36-40",Table1[[#This Row],[Age]]&lt;=45,"41-45",Table1[[#This Row],[Age]]&lt;=50,"46-50",Table1[[#This Row],[Age]]&lt;=55,"51-55",Table1[[#This Row],[Age]]&lt;=60,"56-60",Table1[[#This Row],[Age]]&lt;=66,"61-66")</f>
        <v>36-40</v>
      </c>
      <c r="O45" t="s">
        <v>1077</v>
      </c>
      <c r="P45" t="str" cm="1">
        <f t="array" ref="P45">_xlfn.IFS(Table1[[#This Row],[Company Tenure]]&lt;=5,"1-5",Table1[[#This Row],[Company Tenure]]&lt;=10,"6-10",Table1[[#This Row],[Company Tenure]]&lt;=15,"11-15",Table1[[#This Row],[Company Tenure]]&lt;=20, "15-20",Table1[[#This Row],[Company Tenure]]&gt;20,"Above 20")</f>
        <v>6-10</v>
      </c>
    </row>
    <row r="46" spans="1:16" x14ac:dyDescent="0.25">
      <c r="A46" t="s">
        <v>150</v>
      </c>
      <c r="B46" t="s">
        <v>115</v>
      </c>
      <c r="C46" t="s">
        <v>180</v>
      </c>
      <c r="D46" t="s">
        <v>1</v>
      </c>
      <c r="E46">
        <v>53</v>
      </c>
      <c r="F46" t="s">
        <v>9</v>
      </c>
      <c r="G46" t="s">
        <v>17</v>
      </c>
      <c r="H46" s="2">
        <v>93825</v>
      </c>
      <c r="I46" s="1">
        <v>39366</v>
      </c>
      <c r="J46" s="3">
        <v>18</v>
      </c>
      <c r="K46" t="s">
        <v>151</v>
      </c>
      <c r="L46" t="s">
        <v>107</v>
      </c>
      <c r="M46">
        <v>2</v>
      </c>
      <c r="N46" t="str" cm="1">
        <f t="array" ref="N46">_xlfn.IFS(AND(24&lt;=Table1[[#This Row],[Age]],Table1[[#This Row],[Age]]&lt;=30),"24-30",Table1[[#This Row],[Age]]&lt;=35,"31-35",Table1[[#This Row],[Age]]&lt;=40,"36-40",Table1[[#This Row],[Age]]&lt;=45,"41-45",Table1[[#This Row],[Age]]&lt;=50,"46-50",Table1[[#This Row],[Age]]&lt;=55,"51-55",Table1[[#This Row],[Age]]&lt;=60,"56-60",Table1[[#This Row],[Age]]&lt;=66,"61-66")</f>
        <v>51-55</v>
      </c>
      <c r="O46" t="s">
        <v>1077</v>
      </c>
      <c r="P46" t="str" cm="1">
        <f t="array" ref="P46">_xlfn.IFS(Table1[[#This Row],[Company Tenure]]&lt;=5,"1-5",Table1[[#This Row],[Company Tenure]]&lt;=10,"6-10",Table1[[#This Row],[Company Tenure]]&lt;=15,"11-15",Table1[[#This Row],[Company Tenure]]&lt;=20, "15-20",Table1[[#This Row],[Company Tenure]]&gt;20,"Above 20")</f>
        <v>15-20</v>
      </c>
    </row>
    <row r="47" spans="1:16" x14ac:dyDescent="0.25">
      <c r="A47" t="s">
        <v>152</v>
      </c>
      <c r="B47" t="s">
        <v>232</v>
      </c>
      <c r="C47" t="s">
        <v>153</v>
      </c>
      <c r="D47" t="s">
        <v>1</v>
      </c>
      <c r="E47">
        <v>34</v>
      </c>
      <c r="F47" t="s">
        <v>154</v>
      </c>
      <c r="G47" t="s">
        <v>44</v>
      </c>
      <c r="H47" s="2">
        <v>41306</v>
      </c>
      <c r="I47" s="1">
        <v>44419</v>
      </c>
      <c r="J47" s="3">
        <v>5</v>
      </c>
      <c r="K47" t="s">
        <v>155</v>
      </c>
      <c r="L47" t="s">
        <v>49</v>
      </c>
      <c r="M47">
        <v>4</v>
      </c>
      <c r="N47" t="str" cm="1">
        <f t="array" ref="N47">_xlfn.IFS(AND(24&lt;=Table1[[#This Row],[Age]],Table1[[#This Row],[Age]]&lt;=30),"24-30",Table1[[#This Row],[Age]]&lt;=35,"31-35",Table1[[#This Row],[Age]]&lt;=40,"36-40",Table1[[#This Row],[Age]]&lt;=45,"41-45",Table1[[#This Row],[Age]]&lt;=50,"46-50",Table1[[#This Row],[Age]]&lt;=55,"51-55",Table1[[#This Row],[Age]]&lt;=60,"56-60",Table1[[#This Row],[Age]]&lt;=66,"61-66")</f>
        <v>31-35</v>
      </c>
      <c r="O47" t="s">
        <v>1076</v>
      </c>
      <c r="P47" t="str" cm="1">
        <f t="array" ref="P47">_xlfn.IFS(Table1[[#This Row],[Company Tenure]]&lt;=5,"1-5",Table1[[#This Row],[Company Tenure]]&lt;=10,"6-10",Table1[[#This Row],[Company Tenure]]&lt;=15,"11-15",Table1[[#This Row],[Company Tenure]]&lt;=20, "15-20",Table1[[#This Row],[Company Tenure]]&gt;20,"Above 20")</f>
        <v>1-5</v>
      </c>
    </row>
    <row r="48" spans="1:16" x14ac:dyDescent="0.25">
      <c r="A48" t="s">
        <v>156</v>
      </c>
      <c r="B48" t="s">
        <v>132</v>
      </c>
      <c r="C48" t="s">
        <v>153</v>
      </c>
      <c r="D48" t="s">
        <v>23</v>
      </c>
      <c r="E48">
        <v>41</v>
      </c>
      <c r="F48" t="s">
        <v>133</v>
      </c>
      <c r="G48" t="s">
        <v>17</v>
      </c>
      <c r="H48" s="2">
        <v>58556</v>
      </c>
      <c r="I48" s="1">
        <v>41506</v>
      </c>
      <c r="J48" s="3">
        <v>13</v>
      </c>
      <c r="K48" t="s">
        <v>157</v>
      </c>
      <c r="L48" t="s">
        <v>107</v>
      </c>
      <c r="M48">
        <v>3</v>
      </c>
      <c r="N48" t="str" cm="1">
        <f t="array" ref="N48">_xlfn.IFS(AND(24&lt;=Table1[[#This Row],[Age]],Table1[[#This Row],[Age]]&lt;=30),"24-30",Table1[[#This Row],[Age]]&lt;=35,"31-35",Table1[[#This Row],[Age]]&lt;=40,"36-40",Table1[[#This Row],[Age]]&lt;=45,"41-45",Table1[[#This Row],[Age]]&lt;=50,"46-50",Table1[[#This Row],[Age]]&lt;=55,"51-55",Table1[[#This Row],[Age]]&lt;=60,"56-60",Table1[[#This Row],[Age]]&lt;=66,"61-66")</f>
        <v>41-45</v>
      </c>
      <c r="O48" t="s">
        <v>1077</v>
      </c>
      <c r="P48" t="str" cm="1">
        <f t="array" ref="P48">_xlfn.IFS(Table1[[#This Row],[Company Tenure]]&lt;=5,"1-5",Table1[[#This Row],[Company Tenure]]&lt;=10,"6-10",Table1[[#This Row],[Company Tenure]]&lt;=15,"11-15",Table1[[#This Row],[Company Tenure]]&lt;=20, "15-20",Table1[[#This Row],[Company Tenure]]&gt;20,"Above 20")</f>
        <v>11-15</v>
      </c>
    </row>
    <row r="49" spans="1:16" x14ac:dyDescent="0.25">
      <c r="A49" t="s">
        <v>158</v>
      </c>
      <c r="B49" t="s">
        <v>469</v>
      </c>
      <c r="C49" t="s">
        <v>215</v>
      </c>
      <c r="D49" t="s">
        <v>1</v>
      </c>
      <c r="E49">
        <v>50</v>
      </c>
      <c r="F49" t="s">
        <v>295</v>
      </c>
      <c r="G49" t="s">
        <v>105</v>
      </c>
      <c r="H49" s="2">
        <v>118413.5</v>
      </c>
      <c r="I49" s="1">
        <v>41179</v>
      </c>
      <c r="J49" s="3">
        <v>14</v>
      </c>
      <c r="K49" t="s">
        <v>159</v>
      </c>
      <c r="L49" t="s">
        <v>14</v>
      </c>
      <c r="M49">
        <v>4</v>
      </c>
      <c r="N49" t="str" cm="1">
        <f t="array" ref="N49">_xlfn.IFS(AND(24&lt;=Table1[[#This Row],[Age]],Table1[[#This Row],[Age]]&lt;=30),"24-30",Table1[[#This Row],[Age]]&lt;=35,"31-35",Table1[[#This Row],[Age]]&lt;=40,"36-40",Table1[[#This Row],[Age]]&lt;=45,"41-45",Table1[[#This Row],[Age]]&lt;=50,"46-50",Table1[[#This Row],[Age]]&lt;=55,"51-55",Table1[[#This Row],[Age]]&lt;=60,"56-60",Table1[[#This Row],[Age]]&lt;=66,"61-66")</f>
        <v>46-50</v>
      </c>
      <c r="O49" t="s">
        <v>1074</v>
      </c>
      <c r="P49" t="str" cm="1">
        <f t="array" ref="P49">_xlfn.IFS(Table1[[#This Row],[Company Tenure]]&lt;=5,"1-5",Table1[[#This Row],[Company Tenure]]&lt;=10,"6-10",Table1[[#This Row],[Company Tenure]]&lt;=15,"11-15",Table1[[#This Row],[Company Tenure]]&lt;=20, "15-20",Table1[[#This Row],[Company Tenure]]&gt;20,"Above 20")</f>
        <v>11-15</v>
      </c>
    </row>
    <row r="50" spans="1:16" x14ac:dyDescent="0.25">
      <c r="A50" t="s">
        <v>160</v>
      </c>
      <c r="B50" t="s">
        <v>514</v>
      </c>
      <c r="C50" t="s">
        <v>16</v>
      </c>
      <c r="D50" t="s">
        <v>23</v>
      </c>
      <c r="E50">
        <v>51</v>
      </c>
      <c r="F50" t="s">
        <v>295</v>
      </c>
      <c r="G50" t="s">
        <v>161</v>
      </c>
      <c r="H50" s="2">
        <v>143601</v>
      </c>
      <c r="I50" s="1">
        <v>45431</v>
      </c>
      <c r="J50" s="3">
        <v>2</v>
      </c>
      <c r="K50" t="s">
        <v>162</v>
      </c>
      <c r="L50" t="s">
        <v>25</v>
      </c>
      <c r="M50">
        <v>4</v>
      </c>
      <c r="N50" t="str" cm="1">
        <f t="array" ref="N50">_xlfn.IFS(AND(24&lt;=Table1[[#This Row],[Age]],Table1[[#This Row],[Age]]&lt;=30),"24-30",Table1[[#This Row],[Age]]&lt;=35,"31-35",Table1[[#This Row],[Age]]&lt;=40,"36-40",Table1[[#This Row],[Age]]&lt;=45,"41-45",Table1[[#This Row],[Age]]&lt;=50,"46-50",Table1[[#This Row],[Age]]&lt;=55,"51-55",Table1[[#This Row],[Age]]&lt;=60,"56-60",Table1[[#This Row],[Age]]&lt;=66,"61-66")</f>
        <v>51-55</v>
      </c>
      <c r="O50" t="s">
        <v>1074</v>
      </c>
      <c r="P50" t="str" cm="1">
        <f t="array" ref="P50">_xlfn.IFS(Table1[[#This Row],[Company Tenure]]&lt;=5,"1-5",Table1[[#This Row],[Company Tenure]]&lt;=10,"6-10",Table1[[#This Row],[Company Tenure]]&lt;=15,"11-15",Table1[[#This Row],[Company Tenure]]&lt;=20, "15-20",Table1[[#This Row],[Company Tenure]]&gt;20,"Above 20")</f>
        <v>1-5</v>
      </c>
    </row>
    <row r="51" spans="1:16" x14ac:dyDescent="0.25">
      <c r="A51" t="s">
        <v>163</v>
      </c>
      <c r="B51" t="s">
        <v>99</v>
      </c>
      <c r="C51" t="s">
        <v>287</v>
      </c>
      <c r="D51" t="s">
        <v>23</v>
      </c>
      <c r="E51">
        <v>43</v>
      </c>
      <c r="F51" t="s">
        <v>32</v>
      </c>
      <c r="G51" t="s">
        <v>100</v>
      </c>
      <c r="H51" s="2">
        <v>65603</v>
      </c>
      <c r="I51" s="1">
        <v>43340</v>
      </c>
      <c r="J51" s="3">
        <v>8</v>
      </c>
      <c r="K51" t="s">
        <v>164</v>
      </c>
      <c r="L51" t="s">
        <v>65</v>
      </c>
      <c r="M51">
        <v>5</v>
      </c>
      <c r="N51" t="str" cm="1">
        <f t="array" ref="N51">_xlfn.IFS(AND(24&lt;=Table1[[#This Row],[Age]],Table1[[#This Row],[Age]]&lt;=30),"24-30",Table1[[#This Row],[Age]]&lt;=35,"31-35",Table1[[#This Row],[Age]]&lt;=40,"36-40",Table1[[#This Row],[Age]]&lt;=45,"41-45",Table1[[#This Row],[Age]]&lt;=50,"46-50",Table1[[#This Row],[Age]]&lt;=55,"51-55",Table1[[#This Row],[Age]]&lt;=60,"56-60",Table1[[#This Row],[Age]]&lt;=66,"61-66")</f>
        <v>41-45</v>
      </c>
      <c r="O51" t="s">
        <v>1077</v>
      </c>
      <c r="P51" t="str" cm="1">
        <f t="array" ref="P51">_xlfn.IFS(Table1[[#This Row],[Company Tenure]]&lt;=5,"1-5",Table1[[#This Row],[Company Tenure]]&lt;=10,"6-10",Table1[[#This Row],[Company Tenure]]&lt;=15,"11-15",Table1[[#This Row],[Company Tenure]]&lt;=20, "15-20",Table1[[#This Row],[Company Tenure]]&gt;20,"Above 20")</f>
        <v>6-10</v>
      </c>
    </row>
    <row r="52" spans="1:16" x14ac:dyDescent="0.25">
      <c r="A52" t="s">
        <v>165</v>
      </c>
      <c r="B52" t="s">
        <v>268</v>
      </c>
      <c r="C52" t="s">
        <v>166</v>
      </c>
      <c r="D52" t="s">
        <v>23</v>
      </c>
      <c r="E52">
        <v>44</v>
      </c>
      <c r="F52" t="s">
        <v>1066</v>
      </c>
      <c r="G52" t="s">
        <v>44</v>
      </c>
      <c r="H52" s="2">
        <v>66020</v>
      </c>
      <c r="I52" s="1">
        <v>41119</v>
      </c>
      <c r="J52" s="3">
        <v>14</v>
      </c>
      <c r="K52" t="s">
        <v>167</v>
      </c>
      <c r="L52" t="s">
        <v>25</v>
      </c>
      <c r="M52">
        <v>5</v>
      </c>
      <c r="N52" t="str" cm="1">
        <f t="array" ref="N52">_xlfn.IFS(AND(24&lt;=Table1[[#This Row],[Age]],Table1[[#This Row],[Age]]&lt;=30),"24-30",Table1[[#This Row],[Age]]&lt;=35,"31-35",Table1[[#This Row],[Age]]&lt;=40,"36-40",Table1[[#This Row],[Age]]&lt;=45,"41-45",Table1[[#This Row],[Age]]&lt;=50,"46-50",Table1[[#This Row],[Age]]&lt;=55,"51-55",Table1[[#This Row],[Age]]&lt;=60,"56-60",Table1[[#This Row],[Age]]&lt;=66,"61-66")</f>
        <v>41-45</v>
      </c>
      <c r="O52" t="s">
        <v>1077</v>
      </c>
      <c r="P52" t="str" cm="1">
        <f t="array" ref="P52">_xlfn.IFS(Table1[[#This Row],[Company Tenure]]&lt;=5,"1-5",Table1[[#This Row],[Company Tenure]]&lt;=10,"6-10",Table1[[#This Row],[Company Tenure]]&lt;=15,"11-15",Table1[[#This Row],[Company Tenure]]&lt;=20, "15-20",Table1[[#This Row],[Company Tenure]]&gt;20,"Above 20")</f>
        <v>11-15</v>
      </c>
    </row>
    <row r="53" spans="1:16" x14ac:dyDescent="0.25">
      <c r="A53" t="s">
        <v>168</v>
      </c>
      <c r="B53" t="s">
        <v>469</v>
      </c>
      <c r="C53" t="s">
        <v>169</v>
      </c>
      <c r="D53" t="s">
        <v>8</v>
      </c>
      <c r="E53">
        <v>36</v>
      </c>
      <c r="F53" t="s">
        <v>32</v>
      </c>
      <c r="G53" t="s">
        <v>105</v>
      </c>
      <c r="H53" s="2">
        <v>118974</v>
      </c>
      <c r="I53" s="1">
        <v>42783</v>
      </c>
      <c r="J53" s="3">
        <v>9</v>
      </c>
      <c r="K53" t="s">
        <v>170</v>
      </c>
      <c r="L53" t="s">
        <v>54</v>
      </c>
      <c r="M53">
        <v>1</v>
      </c>
      <c r="N53" t="str" cm="1">
        <f t="array" ref="N53">_xlfn.IFS(AND(24&lt;=Table1[[#This Row],[Age]],Table1[[#This Row],[Age]]&lt;=30),"24-30",Table1[[#This Row],[Age]]&lt;=35,"31-35",Table1[[#This Row],[Age]]&lt;=40,"36-40",Table1[[#This Row],[Age]]&lt;=45,"41-45",Table1[[#This Row],[Age]]&lt;=50,"46-50",Table1[[#This Row],[Age]]&lt;=55,"51-55",Table1[[#This Row],[Age]]&lt;=60,"56-60",Table1[[#This Row],[Age]]&lt;=66,"61-66")</f>
        <v>36-40</v>
      </c>
      <c r="O53" t="s">
        <v>1074</v>
      </c>
      <c r="P53" t="str" cm="1">
        <f t="array" ref="P53">_xlfn.IFS(Table1[[#This Row],[Company Tenure]]&lt;=5,"1-5",Table1[[#This Row],[Company Tenure]]&lt;=10,"6-10",Table1[[#This Row],[Company Tenure]]&lt;=15,"11-15",Table1[[#This Row],[Company Tenure]]&lt;=20, "15-20",Table1[[#This Row],[Company Tenure]]&gt;20,"Above 20")</f>
        <v>6-10</v>
      </c>
    </row>
    <row r="54" spans="1:16" x14ac:dyDescent="0.25">
      <c r="A54" t="s">
        <v>171</v>
      </c>
      <c r="B54" t="s">
        <v>334</v>
      </c>
      <c r="C54" t="s">
        <v>452</v>
      </c>
      <c r="D54" t="s">
        <v>8</v>
      </c>
      <c r="E54">
        <v>51</v>
      </c>
      <c r="F54" t="s">
        <v>9</v>
      </c>
      <c r="G54" t="s">
        <v>105</v>
      </c>
      <c r="H54" s="2">
        <v>130788</v>
      </c>
      <c r="I54" s="1">
        <v>40089</v>
      </c>
      <c r="J54" s="3">
        <v>17</v>
      </c>
      <c r="K54" t="s">
        <v>172</v>
      </c>
      <c r="L54" t="s">
        <v>4</v>
      </c>
      <c r="M54">
        <v>1</v>
      </c>
      <c r="N54" t="str" cm="1">
        <f t="array" ref="N54">_xlfn.IFS(AND(24&lt;=Table1[[#This Row],[Age]],Table1[[#This Row],[Age]]&lt;=30),"24-30",Table1[[#This Row],[Age]]&lt;=35,"31-35",Table1[[#This Row],[Age]]&lt;=40,"36-40",Table1[[#This Row],[Age]]&lt;=45,"41-45",Table1[[#This Row],[Age]]&lt;=50,"46-50",Table1[[#This Row],[Age]]&lt;=55,"51-55",Table1[[#This Row],[Age]]&lt;=60,"56-60",Table1[[#This Row],[Age]]&lt;=66,"61-66")</f>
        <v>51-55</v>
      </c>
      <c r="O54" t="s">
        <v>1074</v>
      </c>
      <c r="P54" t="str" cm="1">
        <f t="array" ref="P54">_xlfn.IFS(Table1[[#This Row],[Company Tenure]]&lt;=5,"1-5",Table1[[#This Row],[Company Tenure]]&lt;=10,"6-10",Table1[[#This Row],[Company Tenure]]&lt;=15,"11-15",Table1[[#This Row],[Company Tenure]]&lt;=20, "15-20",Table1[[#This Row],[Company Tenure]]&gt;20,"Above 20")</f>
        <v>15-20</v>
      </c>
    </row>
    <row r="55" spans="1:16" x14ac:dyDescent="0.25">
      <c r="A55" t="s">
        <v>173</v>
      </c>
      <c r="B55" t="s">
        <v>79</v>
      </c>
      <c r="C55" t="s">
        <v>16</v>
      </c>
      <c r="D55" t="s">
        <v>8</v>
      </c>
      <c r="E55">
        <v>27</v>
      </c>
      <c r="F55" t="s">
        <v>203</v>
      </c>
      <c r="G55" t="s">
        <v>17</v>
      </c>
      <c r="H55" s="2">
        <v>55433</v>
      </c>
      <c r="I55" s="1">
        <v>45357</v>
      </c>
      <c r="J55" s="3">
        <v>2</v>
      </c>
      <c r="K55" t="s">
        <v>174</v>
      </c>
      <c r="L55" t="s">
        <v>54</v>
      </c>
      <c r="M55">
        <v>2</v>
      </c>
      <c r="N55" t="str" cm="1">
        <f t="array" ref="N55">_xlfn.IFS(AND(24&lt;=Table1[[#This Row],[Age]],Table1[[#This Row],[Age]]&lt;=30),"24-30",Table1[[#This Row],[Age]]&lt;=35,"31-35",Table1[[#This Row],[Age]]&lt;=40,"36-40",Table1[[#This Row],[Age]]&lt;=45,"41-45",Table1[[#This Row],[Age]]&lt;=50,"46-50",Table1[[#This Row],[Age]]&lt;=55,"51-55",Table1[[#This Row],[Age]]&lt;=60,"56-60",Table1[[#This Row],[Age]]&lt;=66,"61-66")</f>
        <v>24-30</v>
      </c>
      <c r="O55" t="s">
        <v>1077</v>
      </c>
      <c r="P55" t="str" cm="1">
        <f t="array" ref="P55">_xlfn.IFS(Table1[[#This Row],[Company Tenure]]&lt;=5,"1-5",Table1[[#This Row],[Company Tenure]]&lt;=10,"6-10",Table1[[#This Row],[Company Tenure]]&lt;=15,"11-15",Table1[[#This Row],[Company Tenure]]&lt;=20, "15-20",Table1[[#This Row],[Company Tenure]]&gt;20,"Above 20")</f>
        <v>1-5</v>
      </c>
    </row>
    <row r="56" spans="1:16" x14ac:dyDescent="0.25">
      <c r="A56" t="s">
        <v>175</v>
      </c>
      <c r="B56" t="s">
        <v>355</v>
      </c>
      <c r="C56" t="s">
        <v>88</v>
      </c>
      <c r="D56" t="s">
        <v>1</v>
      </c>
      <c r="E56">
        <v>52</v>
      </c>
      <c r="F56" t="s">
        <v>1066</v>
      </c>
      <c r="G56" t="s">
        <v>2</v>
      </c>
      <c r="H56" s="2">
        <v>59417</v>
      </c>
      <c r="I56" s="1">
        <v>41017</v>
      </c>
      <c r="J56" s="3">
        <v>14</v>
      </c>
      <c r="K56" t="s">
        <v>176</v>
      </c>
      <c r="L56" t="s">
        <v>4</v>
      </c>
      <c r="M56">
        <v>4</v>
      </c>
      <c r="N56" t="str" cm="1">
        <f t="array" ref="N56">_xlfn.IFS(AND(24&lt;=Table1[[#This Row],[Age]],Table1[[#This Row],[Age]]&lt;=30),"24-30",Table1[[#This Row],[Age]]&lt;=35,"31-35",Table1[[#This Row],[Age]]&lt;=40,"36-40",Table1[[#This Row],[Age]]&lt;=45,"41-45",Table1[[#This Row],[Age]]&lt;=50,"46-50",Table1[[#This Row],[Age]]&lt;=55,"51-55",Table1[[#This Row],[Age]]&lt;=60,"56-60",Table1[[#This Row],[Age]]&lt;=66,"61-66")</f>
        <v>51-55</v>
      </c>
      <c r="O56" t="s">
        <v>1077</v>
      </c>
      <c r="P56" t="str" cm="1">
        <f t="array" ref="P56">_xlfn.IFS(Table1[[#This Row],[Company Tenure]]&lt;=5,"1-5",Table1[[#This Row],[Company Tenure]]&lt;=10,"6-10",Table1[[#This Row],[Company Tenure]]&lt;=15,"11-15",Table1[[#This Row],[Company Tenure]]&lt;=20, "15-20",Table1[[#This Row],[Company Tenure]]&gt;20,"Above 20")</f>
        <v>11-15</v>
      </c>
    </row>
    <row r="57" spans="1:16" x14ac:dyDescent="0.25">
      <c r="A57" t="s">
        <v>177</v>
      </c>
      <c r="B57" t="s">
        <v>476</v>
      </c>
      <c r="C57" t="s">
        <v>83</v>
      </c>
      <c r="D57" t="s">
        <v>1</v>
      </c>
      <c r="E57">
        <v>28</v>
      </c>
      <c r="F57" t="s">
        <v>133</v>
      </c>
      <c r="G57" t="s">
        <v>44</v>
      </c>
      <c r="H57" s="2">
        <v>54549</v>
      </c>
      <c r="I57" s="1">
        <v>44578</v>
      </c>
      <c r="J57" s="3">
        <v>4</v>
      </c>
      <c r="K57" t="s">
        <v>178</v>
      </c>
      <c r="L57" t="s">
        <v>107</v>
      </c>
      <c r="M57">
        <v>5</v>
      </c>
      <c r="N57" t="str" cm="1">
        <f t="array" ref="N57">_xlfn.IFS(AND(24&lt;=Table1[[#This Row],[Age]],Table1[[#This Row],[Age]]&lt;=30),"24-30",Table1[[#This Row],[Age]]&lt;=35,"31-35",Table1[[#This Row],[Age]]&lt;=40,"36-40",Table1[[#This Row],[Age]]&lt;=45,"41-45",Table1[[#This Row],[Age]]&lt;=50,"46-50",Table1[[#This Row],[Age]]&lt;=55,"51-55",Table1[[#This Row],[Age]]&lt;=60,"56-60",Table1[[#This Row],[Age]]&lt;=66,"61-66")</f>
        <v>24-30</v>
      </c>
      <c r="O57" t="s">
        <v>1077</v>
      </c>
      <c r="P57" t="str" cm="1">
        <f t="array" ref="P57">_xlfn.IFS(Table1[[#This Row],[Company Tenure]]&lt;=5,"1-5",Table1[[#This Row],[Company Tenure]]&lt;=10,"6-10",Table1[[#This Row],[Company Tenure]]&lt;=15,"11-15",Table1[[#This Row],[Company Tenure]]&lt;=20, "15-20",Table1[[#This Row],[Company Tenure]]&gt;20,"Above 20")</f>
        <v>1-5</v>
      </c>
    </row>
    <row r="58" spans="1:16" x14ac:dyDescent="0.25">
      <c r="A58" t="s">
        <v>179</v>
      </c>
      <c r="B58" t="s">
        <v>56</v>
      </c>
      <c r="C58" t="s">
        <v>180</v>
      </c>
      <c r="D58" t="s">
        <v>1</v>
      </c>
      <c r="E58">
        <v>41</v>
      </c>
      <c r="F58" t="s">
        <v>181</v>
      </c>
      <c r="G58" t="s">
        <v>63</v>
      </c>
      <c r="H58" s="2">
        <v>64886</v>
      </c>
      <c r="I58" s="1">
        <v>43734</v>
      </c>
      <c r="J58" s="3">
        <v>7</v>
      </c>
      <c r="K58" t="s">
        <v>182</v>
      </c>
      <c r="L58" t="s">
        <v>39</v>
      </c>
      <c r="M58">
        <v>3</v>
      </c>
      <c r="N58" t="str" cm="1">
        <f t="array" ref="N58">_xlfn.IFS(AND(24&lt;=Table1[[#This Row],[Age]],Table1[[#This Row],[Age]]&lt;=30),"24-30",Table1[[#This Row],[Age]]&lt;=35,"31-35",Table1[[#This Row],[Age]]&lt;=40,"36-40",Table1[[#This Row],[Age]]&lt;=45,"41-45",Table1[[#This Row],[Age]]&lt;=50,"46-50",Table1[[#This Row],[Age]]&lt;=55,"51-55",Table1[[#This Row],[Age]]&lt;=60,"56-60",Table1[[#This Row],[Age]]&lt;=66,"61-66")</f>
        <v>41-45</v>
      </c>
      <c r="O58" t="s">
        <v>1077</v>
      </c>
      <c r="P58" t="str" cm="1">
        <f t="array" ref="P58">_xlfn.IFS(Table1[[#This Row],[Company Tenure]]&lt;=5,"1-5",Table1[[#This Row],[Company Tenure]]&lt;=10,"6-10",Table1[[#This Row],[Company Tenure]]&lt;=15,"11-15",Table1[[#This Row],[Company Tenure]]&lt;=20, "15-20",Table1[[#This Row],[Company Tenure]]&gt;20,"Above 20")</f>
        <v>6-10</v>
      </c>
    </row>
    <row r="59" spans="1:16" x14ac:dyDescent="0.25">
      <c r="A59" t="s">
        <v>183</v>
      </c>
      <c r="B59" t="s">
        <v>184</v>
      </c>
      <c r="C59" t="s">
        <v>427</v>
      </c>
      <c r="D59" t="s">
        <v>1</v>
      </c>
      <c r="E59">
        <v>54</v>
      </c>
      <c r="F59" t="s">
        <v>9</v>
      </c>
      <c r="G59" t="s">
        <v>100</v>
      </c>
      <c r="H59" s="2">
        <v>70981</v>
      </c>
      <c r="I59" s="1">
        <v>38873</v>
      </c>
      <c r="J59" s="3">
        <v>20</v>
      </c>
      <c r="K59" t="s">
        <v>185</v>
      </c>
      <c r="L59" t="s">
        <v>39</v>
      </c>
      <c r="M59">
        <v>3</v>
      </c>
      <c r="N59" t="str" cm="1">
        <f t="array" ref="N59">_xlfn.IFS(AND(24&lt;=Table1[[#This Row],[Age]],Table1[[#This Row],[Age]]&lt;=30),"24-30",Table1[[#This Row],[Age]]&lt;=35,"31-35",Table1[[#This Row],[Age]]&lt;=40,"36-40",Table1[[#This Row],[Age]]&lt;=45,"41-45",Table1[[#This Row],[Age]]&lt;=50,"46-50",Table1[[#This Row],[Age]]&lt;=55,"51-55",Table1[[#This Row],[Age]]&lt;=60,"56-60",Table1[[#This Row],[Age]]&lt;=66,"61-66")</f>
        <v>51-55</v>
      </c>
      <c r="O59" t="s">
        <v>1077</v>
      </c>
      <c r="P59" t="str" cm="1">
        <f t="array" ref="P59">_xlfn.IFS(Table1[[#This Row],[Company Tenure]]&lt;=5,"1-5",Table1[[#This Row],[Company Tenure]]&lt;=10,"6-10",Table1[[#This Row],[Company Tenure]]&lt;=15,"11-15",Table1[[#This Row],[Company Tenure]]&lt;=20, "15-20",Table1[[#This Row],[Company Tenure]]&gt;20,"Above 20")</f>
        <v>15-20</v>
      </c>
    </row>
    <row r="60" spans="1:16" x14ac:dyDescent="0.25">
      <c r="A60" t="s">
        <v>186</v>
      </c>
      <c r="B60" t="s">
        <v>43</v>
      </c>
      <c r="C60" t="s">
        <v>83</v>
      </c>
      <c r="D60" t="s">
        <v>1</v>
      </c>
      <c r="E60">
        <v>35</v>
      </c>
      <c r="F60" t="s">
        <v>154</v>
      </c>
      <c r="G60" t="s">
        <v>100</v>
      </c>
      <c r="H60" s="2">
        <v>40569.07</v>
      </c>
      <c r="I60" s="1" t="s">
        <v>1059</v>
      </c>
      <c r="J60" s="3" t="s">
        <v>1059</v>
      </c>
      <c r="K60" t="s">
        <v>187</v>
      </c>
      <c r="L60" t="s">
        <v>14</v>
      </c>
      <c r="M60">
        <v>5</v>
      </c>
      <c r="N60" t="str" cm="1">
        <f t="array" ref="N60">_xlfn.IFS(AND(24&lt;=Table1[[#This Row],[Age]],Table1[[#This Row],[Age]]&lt;=30),"24-30",Table1[[#This Row],[Age]]&lt;=35,"31-35",Table1[[#This Row],[Age]]&lt;=40,"36-40",Table1[[#This Row],[Age]]&lt;=45,"41-45",Table1[[#This Row],[Age]]&lt;=50,"46-50",Table1[[#This Row],[Age]]&lt;=55,"51-55",Table1[[#This Row],[Age]]&lt;=60,"56-60",Table1[[#This Row],[Age]]&lt;=66,"61-66")</f>
        <v>31-35</v>
      </c>
      <c r="O60" t="s">
        <v>1076</v>
      </c>
      <c r="P60" t="str" cm="1">
        <f t="array" ref="P60">_xlfn.IFS(Table1[[#This Row],[Company Tenure]]&lt;=5,"1-5",Table1[[#This Row],[Company Tenure]]&lt;=10,"6-10",Table1[[#This Row],[Company Tenure]]&lt;=15,"11-15",Table1[[#This Row],[Company Tenure]]&lt;=20, "15-20",Table1[[#This Row],[Company Tenure]]&gt;20,"Above 20")</f>
        <v>Above 20</v>
      </c>
    </row>
    <row r="61" spans="1:16" x14ac:dyDescent="0.25">
      <c r="A61" t="s">
        <v>188</v>
      </c>
      <c r="B61" t="s">
        <v>184</v>
      </c>
      <c r="C61" t="s">
        <v>291</v>
      </c>
      <c r="D61" t="s">
        <v>23</v>
      </c>
      <c r="E61">
        <v>43</v>
      </c>
      <c r="F61" t="s">
        <v>295</v>
      </c>
      <c r="G61" t="s">
        <v>17</v>
      </c>
      <c r="H61" s="2">
        <v>68894.135000000009</v>
      </c>
      <c r="I61" s="1" t="s">
        <v>1059</v>
      </c>
      <c r="J61" s="3" t="s">
        <v>1059</v>
      </c>
      <c r="K61" t="s">
        <v>189</v>
      </c>
      <c r="L61" t="s">
        <v>19</v>
      </c>
      <c r="M61">
        <v>4</v>
      </c>
      <c r="N61" t="str" cm="1">
        <f t="array" ref="N61">_xlfn.IFS(AND(24&lt;=Table1[[#This Row],[Age]],Table1[[#This Row],[Age]]&lt;=30),"24-30",Table1[[#This Row],[Age]]&lt;=35,"31-35",Table1[[#This Row],[Age]]&lt;=40,"36-40",Table1[[#This Row],[Age]]&lt;=45,"41-45",Table1[[#This Row],[Age]]&lt;=50,"46-50",Table1[[#This Row],[Age]]&lt;=55,"51-55",Table1[[#This Row],[Age]]&lt;=60,"56-60",Table1[[#This Row],[Age]]&lt;=66,"61-66")</f>
        <v>41-45</v>
      </c>
      <c r="O61" t="s">
        <v>1077</v>
      </c>
      <c r="P61" t="str" cm="1">
        <f t="array" ref="P61">_xlfn.IFS(Table1[[#This Row],[Company Tenure]]&lt;=5,"1-5",Table1[[#This Row],[Company Tenure]]&lt;=10,"6-10",Table1[[#This Row],[Company Tenure]]&lt;=15,"11-15",Table1[[#This Row],[Company Tenure]]&lt;=20, "15-20",Table1[[#This Row],[Company Tenure]]&gt;20,"Above 20")</f>
        <v>Above 20</v>
      </c>
    </row>
    <row r="62" spans="1:16" x14ac:dyDescent="0.25">
      <c r="A62" t="s">
        <v>190</v>
      </c>
      <c r="B62" t="s">
        <v>67</v>
      </c>
      <c r="C62" t="s">
        <v>7</v>
      </c>
      <c r="D62" t="s">
        <v>23</v>
      </c>
      <c r="E62">
        <v>40</v>
      </c>
      <c r="F62" t="s">
        <v>32</v>
      </c>
      <c r="G62" t="s">
        <v>100</v>
      </c>
      <c r="H62" s="2">
        <v>65091</v>
      </c>
      <c r="I62" s="1">
        <v>44813</v>
      </c>
      <c r="J62" s="3">
        <v>4</v>
      </c>
      <c r="K62" t="s">
        <v>191</v>
      </c>
      <c r="L62" t="s">
        <v>19</v>
      </c>
      <c r="M62">
        <v>4</v>
      </c>
      <c r="N62" t="str" cm="1">
        <f t="array" ref="N62">_xlfn.IFS(AND(24&lt;=Table1[[#This Row],[Age]],Table1[[#This Row],[Age]]&lt;=30),"24-30",Table1[[#This Row],[Age]]&lt;=35,"31-35",Table1[[#This Row],[Age]]&lt;=40,"36-40",Table1[[#This Row],[Age]]&lt;=45,"41-45",Table1[[#This Row],[Age]]&lt;=50,"46-50",Table1[[#This Row],[Age]]&lt;=55,"51-55",Table1[[#This Row],[Age]]&lt;=60,"56-60",Table1[[#This Row],[Age]]&lt;=66,"61-66")</f>
        <v>36-40</v>
      </c>
      <c r="O62" t="s">
        <v>1077</v>
      </c>
      <c r="P62" t="str" cm="1">
        <f t="array" ref="P62">_xlfn.IFS(Table1[[#This Row],[Company Tenure]]&lt;=5,"1-5",Table1[[#This Row],[Company Tenure]]&lt;=10,"6-10",Table1[[#This Row],[Company Tenure]]&lt;=15,"11-15",Table1[[#This Row],[Company Tenure]]&lt;=20, "15-20",Table1[[#This Row],[Company Tenure]]&gt;20,"Above 20")</f>
        <v>1-5</v>
      </c>
    </row>
    <row r="63" spans="1:16" x14ac:dyDescent="0.25">
      <c r="A63" t="s">
        <v>192</v>
      </c>
      <c r="B63" t="s">
        <v>334</v>
      </c>
      <c r="C63" t="s">
        <v>88</v>
      </c>
      <c r="D63" t="s">
        <v>8</v>
      </c>
      <c r="E63">
        <v>33</v>
      </c>
      <c r="F63" t="s">
        <v>1066</v>
      </c>
      <c r="G63" t="s">
        <v>17</v>
      </c>
      <c r="H63" s="2">
        <v>71035.5</v>
      </c>
      <c r="I63" s="1">
        <v>44847</v>
      </c>
      <c r="J63" s="3">
        <v>3</v>
      </c>
      <c r="K63" t="s">
        <v>193</v>
      </c>
      <c r="L63" t="s">
        <v>11</v>
      </c>
      <c r="M63">
        <v>4</v>
      </c>
      <c r="N63" t="str" cm="1">
        <f t="array" ref="N63">_xlfn.IFS(AND(24&lt;=Table1[[#This Row],[Age]],Table1[[#This Row],[Age]]&lt;=30),"24-30",Table1[[#This Row],[Age]]&lt;=35,"31-35",Table1[[#This Row],[Age]]&lt;=40,"36-40",Table1[[#This Row],[Age]]&lt;=45,"41-45",Table1[[#This Row],[Age]]&lt;=50,"46-50",Table1[[#This Row],[Age]]&lt;=55,"51-55",Table1[[#This Row],[Age]]&lt;=60,"56-60",Table1[[#This Row],[Age]]&lt;=66,"61-66")</f>
        <v>31-35</v>
      </c>
      <c r="O63" t="s">
        <v>1077</v>
      </c>
      <c r="P63" t="str" cm="1">
        <f t="array" ref="P63">_xlfn.IFS(Table1[[#This Row],[Company Tenure]]&lt;=5,"1-5",Table1[[#This Row],[Company Tenure]]&lt;=10,"6-10",Table1[[#This Row],[Company Tenure]]&lt;=15,"11-15",Table1[[#This Row],[Company Tenure]]&lt;=20, "15-20",Table1[[#This Row],[Company Tenure]]&gt;20,"Above 20")</f>
        <v>1-5</v>
      </c>
    </row>
    <row r="64" spans="1:16" x14ac:dyDescent="0.25">
      <c r="A64" t="s">
        <v>194</v>
      </c>
      <c r="B64" t="s">
        <v>714</v>
      </c>
      <c r="C64" t="s">
        <v>589</v>
      </c>
      <c r="D64" t="s">
        <v>23</v>
      </c>
      <c r="E64">
        <v>40</v>
      </c>
      <c r="F64" t="s">
        <v>142</v>
      </c>
      <c r="G64" t="s">
        <v>17</v>
      </c>
      <c r="H64" s="2">
        <v>53870</v>
      </c>
      <c r="I64" s="1">
        <v>40246</v>
      </c>
      <c r="J64" s="3">
        <v>16</v>
      </c>
      <c r="K64" t="s">
        <v>195</v>
      </c>
      <c r="L64" t="s">
        <v>25</v>
      </c>
      <c r="M64">
        <v>3</v>
      </c>
      <c r="N64" t="str" cm="1">
        <f t="array" ref="N64">_xlfn.IFS(AND(24&lt;=Table1[[#This Row],[Age]],Table1[[#This Row],[Age]]&lt;=30),"24-30",Table1[[#This Row],[Age]]&lt;=35,"31-35",Table1[[#This Row],[Age]]&lt;=40,"36-40",Table1[[#This Row],[Age]]&lt;=45,"41-45",Table1[[#This Row],[Age]]&lt;=50,"46-50",Table1[[#This Row],[Age]]&lt;=55,"51-55",Table1[[#This Row],[Age]]&lt;=60,"56-60",Table1[[#This Row],[Age]]&lt;=66,"61-66")</f>
        <v>36-40</v>
      </c>
      <c r="O64" t="s">
        <v>1077</v>
      </c>
      <c r="P64" t="str" cm="1">
        <f t="array" ref="P64">_xlfn.IFS(Table1[[#This Row],[Company Tenure]]&lt;=5,"1-5",Table1[[#This Row],[Company Tenure]]&lt;=10,"6-10",Table1[[#This Row],[Company Tenure]]&lt;=15,"11-15",Table1[[#This Row],[Company Tenure]]&lt;=20, "15-20",Table1[[#This Row],[Company Tenure]]&gt;20,"Above 20")</f>
        <v>15-20</v>
      </c>
    </row>
    <row r="65" spans="1:16" x14ac:dyDescent="0.25">
      <c r="A65" t="s">
        <v>196</v>
      </c>
      <c r="B65" t="s">
        <v>115</v>
      </c>
      <c r="C65" t="s">
        <v>799</v>
      </c>
      <c r="D65" t="s">
        <v>23</v>
      </c>
      <c r="E65">
        <v>30</v>
      </c>
      <c r="F65" t="s">
        <v>181</v>
      </c>
      <c r="G65" t="s">
        <v>100</v>
      </c>
      <c r="H65" s="2">
        <v>52477.33</v>
      </c>
      <c r="I65" s="1">
        <v>43513</v>
      </c>
      <c r="J65" s="3">
        <v>7</v>
      </c>
      <c r="K65" t="s">
        <v>197</v>
      </c>
      <c r="L65" t="s">
        <v>14</v>
      </c>
      <c r="M65">
        <v>4</v>
      </c>
      <c r="N65" t="str" cm="1">
        <f t="array" ref="N65">_xlfn.IFS(AND(24&lt;=Table1[[#This Row],[Age]],Table1[[#This Row],[Age]]&lt;=30),"24-30",Table1[[#This Row],[Age]]&lt;=35,"31-35",Table1[[#This Row],[Age]]&lt;=40,"36-40",Table1[[#This Row],[Age]]&lt;=45,"41-45",Table1[[#This Row],[Age]]&lt;=50,"46-50",Table1[[#This Row],[Age]]&lt;=55,"51-55",Table1[[#This Row],[Age]]&lt;=60,"56-60",Table1[[#This Row],[Age]]&lt;=66,"61-66")</f>
        <v>24-30</v>
      </c>
      <c r="O65" t="s">
        <v>1077</v>
      </c>
      <c r="P65" t="str" cm="1">
        <f t="array" ref="P65">_xlfn.IFS(Table1[[#This Row],[Company Tenure]]&lt;=5,"1-5",Table1[[#This Row],[Company Tenure]]&lt;=10,"6-10",Table1[[#This Row],[Company Tenure]]&lt;=15,"11-15",Table1[[#This Row],[Company Tenure]]&lt;=20, "15-20",Table1[[#This Row],[Company Tenure]]&gt;20,"Above 20")</f>
        <v>6-10</v>
      </c>
    </row>
    <row r="66" spans="1:16" x14ac:dyDescent="0.25">
      <c r="A66" t="s">
        <v>198</v>
      </c>
      <c r="B66" t="s">
        <v>514</v>
      </c>
      <c r="C66" t="s">
        <v>141</v>
      </c>
      <c r="D66" t="s">
        <v>1</v>
      </c>
      <c r="E66">
        <v>48</v>
      </c>
      <c r="F66" t="s">
        <v>313</v>
      </c>
      <c r="G66" t="s">
        <v>2</v>
      </c>
      <c r="H66" s="2">
        <v>131470</v>
      </c>
      <c r="I66" s="1">
        <v>39705</v>
      </c>
      <c r="J66" s="3">
        <v>18</v>
      </c>
      <c r="K66" t="s">
        <v>199</v>
      </c>
      <c r="L66" t="s">
        <v>25</v>
      </c>
      <c r="M66">
        <v>3</v>
      </c>
      <c r="N66" t="str" cm="1">
        <f t="array" ref="N66">_xlfn.IFS(AND(24&lt;=Table1[[#This Row],[Age]],Table1[[#This Row],[Age]]&lt;=30),"24-30",Table1[[#This Row],[Age]]&lt;=35,"31-35",Table1[[#This Row],[Age]]&lt;=40,"36-40",Table1[[#This Row],[Age]]&lt;=45,"41-45",Table1[[#This Row],[Age]]&lt;=50,"46-50",Table1[[#This Row],[Age]]&lt;=55,"51-55",Table1[[#This Row],[Age]]&lt;=60,"56-60",Table1[[#This Row],[Age]]&lt;=66,"61-66")</f>
        <v>46-50</v>
      </c>
      <c r="O66" t="s">
        <v>1074</v>
      </c>
      <c r="P66" t="str" cm="1">
        <f t="array" ref="P66">_xlfn.IFS(Table1[[#This Row],[Company Tenure]]&lt;=5,"1-5",Table1[[#This Row],[Company Tenure]]&lt;=10,"6-10",Table1[[#This Row],[Company Tenure]]&lt;=15,"11-15",Table1[[#This Row],[Company Tenure]]&lt;=20, "15-20",Table1[[#This Row],[Company Tenure]]&gt;20,"Above 20")</f>
        <v>15-20</v>
      </c>
    </row>
    <row r="67" spans="1:16" x14ac:dyDescent="0.25">
      <c r="A67" t="s">
        <v>200</v>
      </c>
      <c r="B67" t="s">
        <v>290</v>
      </c>
      <c r="C67" t="s">
        <v>291</v>
      </c>
      <c r="D67" t="s">
        <v>1</v>
      </c>
      <c r="E67">
        <v>32</v>
      </c>
      <c r="F67" t="s">
        <v>295</v>
      </c>
      <c r="G67" t="s">
        <v>105</v>
      </c>
      <c r="H67" s="2">
        <v>127222</v>
      </c>
      <c r="I67" s="1">
        <v>45410</v>
      </c>
      <c r="J67" s="3">
        <v>2</v>
      </c>
      <c r="K67" t="s">
        <v>201</v>
      </c>
      <c r="L67" t="s">
        <v>107</v>
      </c>
      <c r="M67">
        <v>4</v>
      </c>
      <c r="N67" t="str" cm="1">
        <f t="array" ref="N67">_xlfn.IFS(AND(24&lt;=Table1[[#This Row],[Age]],Table1[[#This Row],[Age]]&lt;=30),"24-30",Table1[[#This Row],[Age]]&lt;=35,"31-35",Table1[[#This Row],[Age]]&lt;=40,"36-40",Table1[[#This Row],[Age]]&lt;=45,"41-45",Table1[[#This Row],[Age]]&lt;=50,"46-50",Table1[[#This Row],[Age]]&lt;=55,"51-55",Table1[[#This Row],[Age]]&lt;=60,"56-60",Table1[[#This Row],[Age]]&lt;=66,"61-66")</f>
        <v>31-35</v>
      </c>
      <c r="O67" t="s">
        <v>1074</v>
      </c>
      <c r="P67" t="str" cm="1">
        <f t="array" ref="P67">_xlfn.IFS(Table1[[#This Row],[Company Tenure]]&lt;=5,"1-5",Table1[[#This Row],[Company Tenure]]&lt;=10,"6-10",Table1[[#This Row],[Company Tenure]]&lt;=15,"11-15",Table1[[#This Row],[Company Tenure]]&lt;=20, "15-20",Table1[[#This Row],[Company Tenure]]&gt;20,"Above 20")</f>
        <v>1-5</v>
      </c>
    </row>
    <row r="68" spans="1:16" x14ac:dyDescent="0.25">
      <c r="A68" t="s">
        <v>202</v>
      </c>
      <c r="B68" t="s">
        <v>132</v>
      </c>
      <c r="C68" t="s">
        <v>68</v>
      </c>
      <c r="D68" t="s">
        <v>23</v>
      </c>
      <c r="E68">
        <v>40</v>
      </c>
      <c r="F68" t="s">
        <v>203</v>
      </c>
      <c r="G68" t="s">
        <v>63</v>
      </c>
      <c r="H68" s="2">
        <v>58487</v>
      </c>
      <c r="I68" s="1">
        <v>45066</v>
      </c>
      <c r="J68" s="3">
        <v>3</v>
      </c>
      <c r="K68" t="s">
        <v>204</v>
      </c>
      <c r="L68" t="s">
        <v>107</v>
      </c>
      <c r="M68">
        <v>3</v>
      </c>
      <c r="N68" t="str" cm="1">
        <f t="array" ref="N68">_xlfn.IFS(AND(24&lt;=Table1[[#This Row],[Age]],Table1[[#This Row],[Age]]&lt;=30),"24-30",Table1[[#This Row],[Age]]&lt;=35,"31-35",Table1[[#This Row],[Age]]&lt;=40,"36-40",Table1[[#This Row],[Age]]&lt;=45,"41-45",Table1[[#This Row],[Age]]&lt;=50,"46-50",Table1[[#This Row],[Age]]&lt;=55,"51-55",Table1[[#This Row],[Age]]&lt;=60,"56-60",Table1[[#This Row],[Age]]&lt;=66,"61-66")</f>
        <v>36-40</v>
      </c>
      <c r="O68" t="s">
        <v>1077</v>
      </c>
      <c r="P68" t="str" cm="1">
        <f t="array" ref="P68">_xlfn.IFS(Table1[[#This Row],[Company Tenure]]&lt;=5,"1-5",Table1[[#This Row],[Company Tenure]]&lt;=10,"6-10",Table1[[#This Row],[Company Tenure]]&lt;=15,"11-15",Table1[[#This Row],[Company Tenure]]&lt;=20, "15-20",Table1[[#This Row],[Company Tenure]]&gt;20,"Above 20")</f>
        <v>1-5</v>
      </c>
    </row>
    <row r="69" spans="1:16" x14ac:dyDescent="0.25">
      <c r="A69" t="s">
        <v>205</v>
      </c>
      <c r="B69" t="s">
        <v>282</v>
      </c>
      <c r="C69" t="s">
        <v>22</v>
      </c>
      <c r="D69" t="s">
        <v>23</v>
      </c>
      <c r="E69">
        <v>36</v>
      </c>
      <c r="F69" t="s">
        <v>142</v>
      </c>
      <c r="G69" t="s">
        <v>63</v>
      </c>
      <c r="H69" s="2">
        <v>53165</v>
      </c>
      <c r="I69" s="1">
        <v>40806</v>
      </c>
      <c r="J69" s="3">
        <v>15</v>
      </c>
      <c r="K69" t="s">
        <v>206</v>
      </c>
      <c r="L69" t="s">
        <v>207</v>
      </c>
      <c r="M69">
        <v>1</v>
      </c>
      <c r="N69" t="str" cm="1">
        <f t="array" ref="N69">_xlfn.IFS(AND(24&lt;=Table1[[#This Row],[Age]],Table1[[#This Row],[Age]]&lt;=30),"24-30",Table1[[#This Row],[Age]]&lt;=35,"31-35",Table1[[#This Row],[Age]]&lt;=40,"36-40",Table1[[#This Row],[Age]]&lt;=45,"41-45",Table1[[#This Row],[Age]]&lt;=50,"46-50",Table1[[#This Row],[Age]]&lt;=55,"51-55",Table1[[#This Row],[Age]]&lt;=60,"56-60",Table1[[#This Row],[Age]]&lt;=66,"61-66")</f>
        <v>36-40</v>
      </c>
      <c r="O69" t="s">
        <v>1077</v>
      </c>
      <c r="P69" t="str" cm="1">
        <f t="array" ref="P69">_xlfn.IFS(Table1[[#This Row],[Company Tenure]]&lt;=5,"1-5",Table1[[#This Row],[Company Tenure]]&lt;=10,"6-10",Table1[[#This Row],[Company Tenure]]&lt;=15,"11-15",Table1[[#This Row],[Company Tenure]]&lt;=20, "15-20",Table1[[#This Row],[Company Tenure]]&gt;20,"Above 20")</f>
        <v>11-15</v>
      </c>
    </row>
    <row r="70" spans="1:16" x14ac:dyDescent="0.25">
      <c r="A70" t="s">
        <v>208</v>
      </c>
      <c r="B70" t="s">
        <v>232</v>
      </c>
      <c r="C70" t="s">
        <v>31</v>
      </c>
      <c r="D70" t="s">
        <v>1</v>
      </c>
      <c r="E70">
        <v>45</v>
      </c>
      <c r="F70" t="s">
        <v>9</v>
      </c>
      <c r="G70" t="s">
        <v>63</v>
      </c>
      <c r="H70" s="2">
        <v>95369</v>
      </c>
      <c r="I70" s="1">
        <v>40628</v>
      </c>
      <c r="J70" s="3">
        <v>15</v>
      </c>
      <c r="K70" t="s">
        <v>209</v>
      </c>
      <c r="L70" t="s">
        <v>39</v>
      </c>
      <c r="M70">
        <v>3</v>
      </c>
      <c r="N70" t="str" cm="1">
        <f t="array" ref="N70">_xlfn.IFS(AND(24&lt;=Table1[[#This Row],[Age]],Table1[[#This Row],[Age]]&lt;=30),"24-30",Table1[[#This Row],[Age]]&lt;=35,"31-35",Table1[[#This Row],[Age]]&lt;=40,"36-40",Table1[[#This Row],[Age]]&lt;=45,"41-45",Table1[[#This Row],[Age]]&lt;=50,"46-50",Table1[[#This Row],[Age]]&lt;=55,"51-55",Table1[[#This Row],[Age]]&lt;=60,"56-60",Table1[[#This Row],[Age]]&lt;=66,"61-66")</f>
        <v>41-45</v>
      </c>
      <c r="O70" t="s">
        <v>1077</v>
      </c>
      <c r="P70" t="str" cm="1">
        <f t="array" ref="P70">_xlfn.IFS(Table1[[#This Row],[Company Tenure]]&lt;=5,"1-5",Table1[[#This Row],[Company Tenure]]&lt;=10,"6-10",Table1[[#This Row],[Company Tenure]]&lt;=15,"11-15",Table1[[#This Row],[Company Tenure]]&lt;=20, "15-20",Table1[[#This Row],[Company Tenure]]&gt;20,"Above 20")</f>
        <v>11-15</v>
      </c>
    </row>
    <row r="71" spans="1:16" x14ac:dyDescent="0.25">
      <c r="A71" t="s">
        <v>210</v>
      </c>
      <c r="B71" t="s">
        <v>316</v>
      </c>
      <c r="C71" t="s">
        <v>356</v>
      </c>
      <c r="D71" t="s">
        <v>1</v>
      </c>
      <c r="E71">
        <v>57</v>
      </c>
      <c r="F71" t="s">
        <v>181</v>
      </c>
      <c r="G71" t="s">
        <v>100</v>
      </c>
      <c r="H71" s="2">
        <v>50394.165000000001</v>
      </c>
      <c r="I71" s="1">
        <v>41189</v>
      </c>
      <c r="J71" s="3">
        <v>14</v>
      </c>
      <c r="K71" t="s">
        <v>211</v>
      </c>
      <c r="L71" t="s">
        <v>25</v>
      </c>
      <c r="M71">
        <v>3</v>
      </c>
      <c r="N71" t="str" cm="1">
        <f t="array" ref="N71">_xlfn.IFS(AND(24&lt;=Table1[[#This Row],[Age]],Table1[[#This Row],[Age]]&lt;=30),"24-30",Table1[[#This Row],[Age]]&lt;=35,"31-35",Table1[[#This Row],[Age]]&lt;=40,"36-40",Table1[[#This Row],[Age]]&lt;=45,"41-45",Table1[[#This Row],[Age]]&lt;=50,"46-50",Table1[[#This Row],[Age]]&lt;=55,"51-55",Table1[[#This Row],[Age]]&lt;=60,"56-60",Table1[[#This Row],[Age]]&lt;=66,"61-66")</f>
        <v>56-60</v>
      </c>
      <c r="O71" t="s">
        <v>1077</v>
      </c>
      <c r="P71" t="str" cm="1">
        <f t="array" ref="P71">_xlfn.IFS(Table1[[#This Row],[Company Tenure]]&lt;=5,"1-5",Table1[[#This Row],[Company Tenure]]&lt;=10,"6-10",Table1[[#This Row],[Company Tenure]]&lt;=15,"11-15",Table1[[#This Row],[Company Tenure]]&lt;=20, "15-20",Table1[[#This Row],[Company Tenure]]&gt;20,"Above 20")</f>
        <v>11-15</v>
      </c>
    </row>
    <row r="72" spans="1:16" x14ac:dyDescent="0.25">
      <c r="A72" t="s">
        <v>212</v>
      </c>
      <c r="B72" t="s">
        <v>16</v>
      </c>
      <c r="C72" t="s">
        <v>7</v>
      </c>
      <c r="D72" t="s">
        <v>1</v>
      </c>
      <c r="E72">
        <v>27</v>
      </c>
      <c r="F72" t="s">
        <v>142</v>
      </c>
      <c r="G72" t="s">
        <v>17</v>
      </c>
      <c r="H72" s="2">
        <v>50155</v>
      </c>
      <c r="I72" s="1">
        <v>43754</v>
      </c>
      <c r="J72" s="3">
        <v>6</v>
      </c>
      <c r="K72" t="s">
        <v>213</v>
      </c>
      <c r="L72" t="s">
        <v>25</v>
      </c>
      <c r="M72">
        <v>3</v>
      </c>
      <c r="N72" t="str" cm="1">
        <f t="array" ref="N72">_xlfn.IFS(AND(24&lt;=Table1[[#This Row],[Age]],Table1[[#This Row],[Age]]&lt;=30),"24-30",Table1[[#This Row],[Age]]&lt;=35,"31-35",Table1[[#This Row],[Age]]&lt;=40,"36-40",Table1[[#This Row],[Age]]&lt;=45,"41-45",Table1[[#This Row],[Age]]&lt;=50,"46-50",Table1[[#This Row],[Age]]&lt;=55,"51-55",Table1[[#This Row],[Age]]&lt;=60,"56-60",Table1[[#This Row],[Age]]&lt;=66,"61-66")</f>
        <v>24-30</v>
      </c>
      <c r="O72" t="s">
        <v>1077</v>
      </c>
      <c r="P72" t="str" cm="1">
        <f t="array" ref="P72">_xlfn.IFS(Table1[[#This Row],[Company Tenure]]&lt;=5,"1-5",Table1[[#This Row],[Company Tenure]]&lt;=10,"6-10",Table1[[#This Row],[Company Tenure]]&lt;=15,"11-15",Table1[[#This Row],[Company Tenure]]&lt;=20, "15-20",Table1[[#This Row],[Company Tenure]]&gt;20,"Above 20")</f>
        <v>6-10</v>
      </c>
    </row>
    <row r="73" spans="1:16" x14ac:dyDescent="0.25">
      <c r="A73" t="s">
        <v>214</v>
      </c>
      <c r="B73" t="s">
        <v>115</v>
      </c>
      <c r="C73" t="s">
        <v>215</v>
      </c>
      <c r="D73" t="s">
        <v>1</v>
      </c>
      <c r="E73">
        <v>50</v>
      </c>
      <c r="F73" t="s">
        <v>133</v>
      </c>
      <c r="G73" t="s">
        <v>216</v>
      </c>
      <c r="H73" s="2">
        <v>152938</v>
      </c>
      <c r="I73" s="1">
        <v>38915</v>
      </c>
      <c r="J73" s="3">
        <v>20</v>
      </c>
      <c r="K73" t="s">
        <v>217</v>
      </c>
      <c r="L73" t="s">
        <v>65</v>
      </c>
      <c r="M73">
        <v>5</v>
      </c>
      <c r="N73" t="str" cm="1">
        <f t="array" ref="N73">_xlfn.IFS(AND(24&lt;=Table1[[#This Row],[Age]],Table1[[#This Row],[Age]]&lt;=30),"24-30",Table1[[#This Row],[Age]]&lt;=35,"31-35",Table1[[#This Row],[Age]]&lt;=40,"36-40",Table1[[#This Row],[Age]]&lt;=45,"41-45",Table1[[#This Row],[Age]]&lt;=50,"46-50",Table1[[#This Row],[Age]]&lt;=55,"51-55",Table1[[#This Row],[Age]]&lt;=60,"56-60",Table1[[#This Row],[Age]]&lt;=66,"61-66")</f>
        <v>46-50</v>
      </c>
      <c r="O73" t="s">
        <v>1078</v>
      </c>
      <c r="P73" t="str" cm="1">
        <f t="array" ref="P73">_xlfn.IFS(Table1[[#This Row],[Company Tenure]]&lt;=5,"1-5",Table1[[#This Row],[Company Tenure]]&lt;=10,"6-10",Table1[[#This Row],[Company Tenure]]&lt;=15,"11-15",Table1[[#This Row],[Company Tenure]]&lt;=20, "15-20",Table1[[#This Row],[Company Tenure]]&gt;20,"Above 20")</f>
        <v>15-20</v>
      </c>
    </row>
    <row r="74" spans="1:16" x14ac:dyDescent="0.25">
      <c r="A74" t="s">
        <v>218</v>
      </c>
      <c r="B74" t="s">
        <v>103</v>
      </c>
      <c r="C74" t="s">
        <v>562</v>
      </c>
      <c r="D74" t="s">
        <v>23</v>
      </c>
      <c r="E74">
        <v>49</v>
      </c>
      <c r="F74" t="s">
        <v>313</v>
      </c>
      <c r="G74" t="s">
        <v>161</v>
      </c>
      <c r="H74" s="2">
        <v>191037</v>
      </c>
      <c r="I74" s="1">
        <v>39263</v>
      </c>
      <c r="J74" s="3">
        <v>19</v>
      </c>
      <c r="K74" t="s">
        <v>219</v>
      </c>
      <c r="L74" t="s">
        <v>65</v>
      </c>
      <c r="M74">
        <v>3</v>
      </c>
      <c r="N74" t="str" cm="1">
        <f t="array" ref="N74">_xlfn.IFS(AND(24&lt;=Table1[[#This Row],[Age]],Table1[[#This Row],[Age]]&lt;=30),"24-30",Table1[[#This Row],[Age]]&lt;=35,"31-35",Table1[[#This Row],[Age]]&lt;=40,"36-40",Table1[[#This Row],[Age]]&lt;=45,"41-45",Table1[[#This Row],[Age]]&lt;=50,"46-50",Table1[[#This Row],[Age]]&lt;=55,"51-55",Table1[[#This Row],[Age]]&lt;=60,"56-60",Table1[[#This Row],[Age]]&lt;=66,"61-66")</f>
        <v>46-50</v>
      </c>
      <c r="O74" t="s">
        <v>1078</v>
      </c>
      <c r="P74" t="str" cm="1">
        <f t="array" ref="P74">_xlfn.IFS(Table1[[#This Row],[Company Tenure]]&lt;=5,"1-5",Table1[[#This Row],[Company Tenure]]&lt;=10,"6-10",Table1[[#This Row],[Company Tenure]]&lt;=15,"11-15",Table1[[#This Row],[Company Tenure]]&lt;=20, "15-20",Table1[[#This Row],[Company Tenure]]&gt;20,"Above 20")</f>
        <v>15-20</v>
      </c>
    </row>
    <row r="75" spans="1:16" x14ac:dyDescent="0.25">
      <c r="A75" t="s">
        <v>220</v>
      </c>
      <c r="B75" t="s">
        <v>221</v>
      </c>
      <c r="C75" t="s">
        <v>222</v>
      </c>
      <c r="D75" t="s">
        <v>1</v>
      </c>
      <c r="E75">
        <v>41</v>
      </c>
      <c r="F75" t="s">
        <v>142</v>
      </c>
      <c r="G75" t="s">
        <v>63</v>
      </c>
      <c r="H75" s="2">
        <v>64376</v>
      </c>
      <c r="I75" s="1">
        <v>44276</v>
      </c>
      <c r="J75" s="3">
        <v>5</v>
      </c>
      <c r="K75" t="s">
        <v>223</v>
      </c>
      <c r="L75" t="s">
        <v>85</v>
      </c>
      <c r="M75">
        <v>5</v>
      </c>
      <c r="N75" t="str" cm="1">
        <f t="array" ref="N75">_xlfn.IFS(AND(24&lt;=Table1[[#This Row],[Age]],Table1[[#This Row],[Age]]&lt;=30),"24-30",Table1[[#This Row],[Age]]&lt;=35,"31-35",Table1[[#This Row],[Age]]&lt;=40,"36-40",Table1[[#This Row],[Age]]&lt;=45,"41-45",Table1[[#This Row],[Age]]&lt;=50,"46-50",Table1[[#This Row],[Age]]&lt;=55,"51-55",Table1[[#This Row],[Age]]&lt;=60,"56-60",Table1[[#This Row],[Age]]&lt;=66,"61-66")</f>
        <v>41-45</v>
      </c>
      <c r="O75" t="s">
        <v>1077</v>
      </c>
      <c r="P75" t="str" cm="1">
        <f t="array" ref="P75">_xlfn.IFS(Table1[[#This Row],[Company Tenure]]&lt;=5,"1-5",Table1[[#This Row],[Company Tenure]]&lt;=10,"6-10",Table1[[#This Row],[Company Tenure]]&lt;=15,"11-15",Table1[[#This Row],[Company Tenure]]&lt;=20, "15-20",Table1[[#This Row],[Company Tenure]]&gt;20,"Above 20")</f>
        <v>1-5</v>
      </c>
    </row>
    <row r="76" spans="1:16" x14ac:dyDescent="0.25">
      <c r="A76" t="s">
        <v>224</v>
      </c>
      <c r="B76" t="s">
        <v>184</v>
      </c>
      <c r="C76" t="s">
        <v>308</v>
      </c>
      <c r="D76" t="s">
        <v>23</v>
      </c>
      <c r="E76">
        <v>51</v>
      </c>
      <c r="F76" t="s">
        <v>142</v>
      </c>
      <c r="G76" t="s">
        <v>100</v>
      </c>
      <c r="H76" s="2">
        <v>46456</v>
      </c>
      <c r="I76" s="1">
        <v>40007</v>
      </c>
      <c r="J76" s="3">
        <v>17</v>
      </c>
      <c r="K76" t="s">
        <v>225</v>
      </c>
      <c r="L76" t="s">
        <v>25</v>
      </c>
      <c r="M76">
        <v>4</v>
      </c>
      <c r="N76" t="str" cm="1">
        <f t="array" ref="N76">_xlfn.IFS(AND(24&lt;=Table1[[#This Row],[Age]],Table1[[#This Row],[Age]]&lt;=30),"24-30",Table1[[#This Row],[Age]]&lt;=35,"31-35",Table1[[#This Row],[Age]]&lt;=40,"36-40",Table1[[#This Row],[Age]]&lt;=45,"41-45",Table1[[#This Row],[Age]]&lt;=50,"46-50",Table1[[#This Row],[Age]]&lt;=55,"51-55",Table1[[#This Row],[Age]]&lt;=60,"56-60",Table1[[#This Row],[Age]]&lt;=66,"61-66")</f>
        <v>51-55</v>
      </c>
      <c r="O76" t="s">
        <v>1076</v>
      </c>
      <c r="P76" t="str" cm="1">
        <f t="array" ref="P76">_xlfn.IFS(Table1[[#This Row],[Company Tenure]]&lt;=5,"1-5",Table1[[#This Row],[Company Tenure]]&lt;=10,"6-10",Table1[[#This Row],[Company Tenure]]&lt;=15,"11-15",Table1[[#This Row],[Company Tenure]]&lt;=20, "15-20",Table1[[#This Row],[Company Tenure]]&gt;20,"Above 20")</f>
        <v>15-20</v>
      </c>
    </row>
    <row r="77" spans="1:16" x14ac:dyDescent="0.25">
      <c r="A77" t="s">
        <v>226</v>
      </c>
      <c r="B77" t="s">
        <v>79</v>
      </c>
      <c r="C77" t="s">
        <v>22</v>
      </c>
      <c r="D77" t="s">
        <v>1</v>
      </c>
      <c r="E77">
        <v>28</v>
      </c>
      <c r="F77" t="s">
        <v>32</v>
      </c>
      <c r="G77" t="s">
        <v>44</v>
      </c>
      <c r="H77" s="2">
        <v>68791</v>
      </c>
      <c r="I77" s="1">
        <v>44659</v>
      </c>
      <c r="J77" s="3">
        <v>4</v>
      </c>
      <c r="K77" t="s">
        <v>227</v>
      </c>
      <c r="L77" t="s">
        <v>4</v>
      </c>
      <c r="M77">
        <v>3</v>
      </c>
      <c r="N77" t="str" cm="1">
        <f t="array" ref="N77">_xlfn.IFS(AND(24&lt;=Table1[[#This Row],[Age]],Table1[[#This Row],[Age]]&lt;=30),"24-30",Table1[[#This Row],[Age]]&lt;=35,"31-35",Table1[[#This Row],[Age]]&lt;=40,"36-40",Table1[[#This Row],[Age]]&lt;=45,"41-45",Table1[[#This Row],[Age]]&lt;=50,"46-50",Table1[[#This Row],[Age]]&lt;=55,"51-55",Table1[[#This Row],[Age]]&lt;=60,"56-60",Table1[[#This Row],[Age]]&lt;=66,"61-66")</f>
        <v>24-30</v>
      </c>
      <c r="O77" t="s">
        <v>1077</v>
      </c>
      <c r="P77" t="str" cm="1">
        <f t="array" ref="P77">_xlfn.IFS(Table1[[#This Row],[Company Tenure]]&lt;=5,"1-5",Table1[[#This Row],[Company Tenure]]&lt;=10,"6-10",Table1[[#This Row],[Company Tenure]]&lt;=15,"11-15",Table1[[#This Row],[Company Tenure]]&lt;=20, "15-20",Table1[[#This Row],[Company Tenure]]&gt;20,"Above 20")</f>
        <v>1-5</v>
      </c>
    </row>
    <row r="78" spans="1:16" x14ac:dyDescent="0.25">
      <c r="A78" t="s">
        <v>228</v>
      </c>
      <c r="B78" t="s">
        <v>229</v>
      </c>
      <c r="C78" t="s">
        <v>287</v>
      </c>
      <c r="D78" t="s">
        <v>23</v>
      </c>
      <c r="E78">
        <v>48</v>
      </c>
      <c r="F78" t="s">
        <v>154</v>
      </c>
      <c r="G78" t="s">
        <v>216</v>
      </c>
      <c r="H78" s="2">
        <v>111837</v>
      </c>
      <c r="I78" s="1">
        <v>39010</v>
      </c>
      <c r="J78" s="3">
        <v>19</v>
      </c>
      <c r="K78" t="s">
        <v>230</v>
      </c>
      <c r="L78" t="s">
        <v>85</v>
      </c>
      <c r="M78">
        <v>4</v>
      </c>
      <c r="N78" t="str" cm="1">
        <f t="array" ref="N78">_xlfn.IFS(AND(24&lt;=Table1[[#This Row],[Age]],Table1[[#This Row],[Age]]&lt;=30),"24-30",Table1[[#This Row],[Age]]&lt;=35,"31-35",Table1[[#This Row],[Age]]&lt;=40,"36-40",Table1[[#This Row],[Age]]&lt;=45,"41-45",Table1[[#This Row],[Age]]&lt;=50,"46-50",Table1[[#This Row],[Age]]&lt;=55,"51-55",Table1[[#This Row],[Age]]&lt;=60,"56-60",Table1[[#This Row],[Age]]&lt;=66,"61-66")</f>
        <v>46-50</v>
      </c>
      <c r="O78" t="s">
        <v>1074</v>
      </c>
      <c r="P78" t="str" cm="1">
        <f t="array" ref="P78">_xlfn.IFS(Table1[[#This Row],[Company Tenure]]&lt;=5,"1-5",Table1[[#This Row],[Company Tenure]]&lt;=10,"6-10",Table1[[#This Row],[Company Tenure]]&lt;=15,"11-15",Table1[[#This Row],[Company Tenure]]&lt;=20, "15-20",Table1[[#This Row],[Company Tenure]]&gt;20,"Above 20")</f>
        <v>15-20</v>
      </c>
    </row>
    <row r="79" spans="1:16" x14ac:dyDescent="0.25">
      <c r="A79" t="s">
        <v>231</v>
      </c>
      <c r="B79" t="s">
        <v>232</v>
      </c>
      <c r="C79" t="s">
        <v>91</v>
      </c>
      <c r="D79" t="s">
        <v>8</v>
      </c>
      <c r="E79">
        <v>47</v>
      </c>
      <c r="F79" t="s">
        <v>181</v>
      </c>
      <c r="G79" t="s">
        <v>105</v>
      </c>
      <c r="H79" s="2">
        <v>85511</v>
      </c>
      <c r="I79" s="1">
        <v>45635</v>
      </c>
      <c r="J79" s="3">
        <v>1</v>
      </c>
      <c r="K79" t="s">
        <v>233</v>
      </c>
      <c r="L79" t="s">
        <v>207</v>
      </c>
      <c r="M79">
        <v>4</v>
      </c>
      <c r="N79" t="str" cm="1">
        <f t="array" ref="N79">_xlfn.IFS(AND(24&lt;=Table1[[#This Row],[Age]],Table1[[#This Row],[Age]]&lt;=30),"24-30",Table1[[#This Row],[Age]]&lt;=35,"31-35",Table1[[#This Row],[Age]]&lt;=40,"36-40",Table1[[#This Row],[Age]]&lt;=45,"41-45",Table1[[#This Row],[Age]]&lt;=50,"46-50",Table1[[#This Row],[Age]]&lt;=55,"51-55",Table1[[#This Row],[Age]]&lt;=60,"56-60",Table1[[#This Row],[Age]]&lt;=66,"61-66")</f>
        <v>46-50</v>
      </c>
      <c r="O79" t="s">
        <v>1077</v>
      </c>
      <c r="P79" t="str" cm="1">
        <f t="array" ref="P79">_xlfn.IFS(Table1[[#This Row],[Company Tenure]]&lt;=5,"1-5",Table1[[#This Row],[Company Tenure]]&lt;=10,"6-10",Table1[[#This Row],[Company Tenure]]&lt;=15,"11-15",Table1[[#This Row],[Company Tenure]]&lt;=20, "15-20",Table1[[#This Row],[Company Tenure]]&gt;20,"Above 20")</f>
        <v>1-5</v>
      </c>
    </row>
    <row r="80" spans="1:16" x14ac:dyDescent="0.25">
      <c r="A80" t="s">
        <v>234</v>
      </c>
      <c r="B80" t="s">
        <v>374</v>
      </c>
      <c r="C80" t="s">
        <v>7</v>
      </c>
      <c r="D80" t="s">
        <v>23</v>
      </c>
      <c r="E80">
        <v>34</v>
      </c>
      <c r="F80" t="s">
        <v>154</v>
      </c>
      <c r="G80" t="s">
        <v>63</v>
      </c>
      <c r="H80" s="2">
        <v>43328</v>
      </c>
      <c r="I80" s="1">
        <v>43297</v>
      </c>
      <c r="J80" s="3">
        <v>8</v>
      </c>
      <c r="K80" t="s">
        <v>235</v>
      </c>
      <c r="L80" t="s">
        <v>85</v>
      </c>
      <c r="M80">
        <v>4</v>
      </c>
      <c r="N80" t="str" cm="1">
        <f t="array" ref="N80">_xlfn.IFS(AND(24&lt;=Table1[[#This Row],[Age]],Table1[[#This Row],[Age]]&lt;=30),"24-30",Table1[[#This Row],[Age]]&lt;=35,"31-35",Table1[[#This Row],[Age]]&lt;=40,"36-40",Table1[[#This Row],[Age]]&lt;=45,"41-45",Table1[[#This Row],[Age]]&lt;=50,"46-50",Table1[[#This Row],[Age]]&lt;=55,"51-55",Table1[[#This Row],[Age]]&lt;=60,"56-60",Table1[[#This Row],[Age]]&lt;=66,"61-66")</f>
        <v>31-35</v>
      </c>
      <c r="O80" t="s">
        <v>1076</v>
      </c>
      <c r="P80" t="str" cm="1">
        <f t="array" ref="P80">_xlfn.IFS(Table1[[#This Row],[Company Tenure]]&lt;=5,"1-5",Table1[[#This Row],[Company Tenure]]&lt;=10,"6-10",Table1[[#This Row],[Company Tenure]]&lt;=15,"11-15",Table1[[#This Row],[Company Tenure]]&lt;=20, "15-20",Table1[[#This Row],[Company Tenure]]&gt;20,"Above 20")</f>
        <v>6-10</v>
      </c>
    </row>
    <row r="81" spans="1:16" x14ac:dyDescent="0.25">
      <c r="A81" t="s">
        <v>236</v>
      </c>
      <c r="B81" t="s">
        <v>514</v>
      </c>
      <c r="C81" t="s">
        <v>375</v>
      </c>
      <c r="D81" t="s">
        <v>23</v>
      </c>
      <c r="E81">
        <v>41</v>
      </c>
      <c r="F81" t="s">
        <v>133</v>
      </c>
      <c r="G81" t="s">
        <v>2</v>
      </c>
      <c r="H81" s="2">
        <v>79989</v>
      </c>
      <c r="I81" s="1" t="s">
        <v>1059</v>
      </c>
      <c r="J81" s="3" t="s">
        <v>1059</v>
      </c>
      <c r="K81" t="s">
        <v>237</v>
      </c>
      <c r="L81" t="s">
        <v>39</v>
      </c>
      <c r="M81">
        <v>3</v>
      </c>
      <c r="N81" t="str" cm="1">
        <f t="array" ref="N81">_xlfn.IFS(AND(24&lt;=Table1[[#This Row],[Age]],Table1[[#This Row],[Age]]&lt;=30),"24-30",Table1[[#This Row],[Age]]&lt;=35,"31-35",Table1[[#This Row],[Age]]&lt;=40,"36-40",Table1[[#This Row],[Age]]&lt;=45,"41-45",Table1[[#This Row],[Age]]&lt;=50,"46-50",Table1[[#This Row],[Age]]&lt;=55,"51-55",Table1[[#This Row],[Age]]&lt;=60,"56-60",Table1[[#This Row],[Age]]&lt;=66,"61-66")</f>
        <v>41-45</v>
      </c>
      <c r="O81" t="s">
        <v>1077</v>
      </c>
      <c r="P81" t="str" cm="1">
        <f t="array" ref="P81">_xlfn.IFS(Table1[[#This Row],[Company Tenure]]&lt;=5,"1-5",Table1[[#This Row],[Company Tenure]]&lt;=10,"6-10",Table1[[#This Row],[Company Tenure]]&lt;=15,"11-15",Table1[[#This Row],[Company Tenure]]&lt;=20, "15-20",Table1[[#This Row],[Company Tenure]]&gt;20,"Above 20")</f>
        <v>Above 20</v>
      </c>
    </row>
    <row r="82" spans="1:16" x14ac:dyDescent="0.25">
      <c r="A82" t="s">
        <v>238</v>
      </c>
      <c r="B82" t="s">
        <v>6</v>
      </c>
      <c r="C82" t="s">
        <v>287</v>
      </c>
      <c r="D82" t="s">
        <v>23</v>
      </c>
      <c r="E82">
        <v>51</v>
      </c>
      <c r="F82" t="s">
        <v>32</v>
      </c>
      <c r="G82" t="s">
        <v>17</v>
      </c>
      <c r="H82" s="2">
        <v>77809.739999999991</v>
      </c>
      <c r="I82" s="1">
        <v>38652</v>
      </c>
      <c r="J82" s="3">
        <v>20</v>
      </c>
      <c r="K82" t="s">
        <v>239</v>
      </c>
      <c r="L82" t="s">
        <v>19</v>
      </c>
      <c r="M82">
        <v>4</v>
      </c>
      <c r="N82" t="str" cm="1">
        <f t="array" ref="N82">_xlfn.IFS(AND(24&lt;=Table1[[#This Row],[Age]],Table1[[#This Row],[Age]]&lt;=30),"24-30",Table1[[#This Row],[Age]]&lt;=35,"31-35",Table1[[#This Row],[Age]]&lt;=40,"36-40",Table1[[#This Row],[Age]]&lt;=45,"41-45",Table1[[#This Row],[Age]]&lt;=50,"46-50",Table1[[#This Row],[Age]]&lt;=55,"51-55",Table1[[#This Row],[Age]]&lt;=60,"56-60",Table1[[#This Row],[Age]]&lt;=66,"61-66")</f>
        <v>51-55</v>
      </c>
      <c r="O82" t="s">
        <v>1077</v>
      </c>
      <c r="P82" t="str" cm="1">
        <f t="array" ref="P82">_xlfn.IFS(Table1[[#This Row],[Company Tenure]]&lt;=5,"1-5",Table1[[#This Row],[Company Tenure]]&lt;=10,"6-10",Table1[[#This Row],[Company Tenure]]&lt;=15,"11-15",Table1[[#This Row],[Company Tenure]]&lt;=20, "15-20",Table1[[#This Row],[Company Tenure]]&gt;20,"Above 20")</f>
        <v>15-20</v>
      </c>
    </row>
    <row r="83" spans="1:16" x14ac:dyDescent="0.25">
      <c r="A83" t="s">
        <v>240</v>
      </c>
      <c r="B83" t="s">
        <v>56</v>
      </c>
      <c r="C83" t="s">
        <v>562</v>
      </c>
      <c r="D83" t="s">
        <v>8</v>
      </c>
      <c r="E83">
        <v>44</v>
      </c>
      <c r="F83" t="s">
        <v>154</v>
      </c>
      <c r="G83" t="s">
        <v>17</v>
      </c>
      <c r="H83" s="2">
        <v>41428</v>
      </c>
      <c r="I83" s="1">
        <v>43872</v>
      </c>
      <c r="J83" s="3">
        <v>6</v>
      </c>
      <c r="K83" t="s">
        <v>241</v>
      </c>
      <c r="L83" t="s">
        <v>4</v>
      </c>
      <c r="M83">
        <v>1</v>
      </c>
      <c r="N83" t="str" cm="1">
        <f t="array" ref="N83">_xlfn.IFS(AND(24&lt;=Table1[[#This Row],[Age]],Table1[[#This Row],[Age]]&lt;=30),"24-30",Table1[[#This Row],[Age]]&lt;=35,"31-35",Table1[[#This Row],[Age]]&lt;=40,"36-40",Table1[[#This Row],[Age]]&lt;=45,"41-45",Table1[[#This Row],[Age]]&lt;=50,"46-50",Table1[[#This Row],[Age]]&lt;=55,"51-55",Table1[[#This Row],[Age]]&lt;=60,"56-60",Table1[[#This Row],[Age]]&lt;=66,"61-66")</f>
        <v>41-45</v>
      </c>
      <c r="O83" t="s">
        <v>1076</v>
      </c>
      <c r="P83" t="str" cm="1">
        <f t="array" ref="P83">_xlfn.IFS(Table1[[#This Row],[Company Tenure]]&lt;=5,"1-5",Table1[[#This Row],[Company Tenure]]&lt;=10,"6-10",Table1[[#This Row],[Company Tenure]]&lt;=15,"11-15",Table1[[#This Row],[Company Tenure]]&lt;=20, "15-20",Table1[[#This Row],[Company Tenure]]&gt;20,"Above 20")</f>
        <v>6-10</v>
      </c>
    </row>
    <row r="84" spans="1:16" x14ac:dyDescent="0.25">
      <c r="A84" t="s">
        <v>242</v>
      </c>
      <c r="B84" t="s">
        <v>62</v>
      </c>
      <c r="C84" t="s">
        <v>222</v>
      </c>
      <c r="D84" t="s">
        <v>23</v>
      </c>
      <c r="E84">
        <v>41</v>
      </c>
      <c r="F84" t="s">
        <v>203</v>
      </c>
      <c r="G84" t="s">
        <v>37</v>
      </c>
      <c r="H84" s="2">
        <v>64240</v>
      </c>
      <c r="I84" s="1">
        <v>45414</v>
      </c>
      <c r="J84" s="3">
        <v>2</v>
      </c>
      <c r="K84" t="s">
        <v>243</v>
      </c>
      <c r="L84" t="s">
        <v>39</v>
      </c>
      <c r="M84">
        <v>5</v>
      </c>
      <c r="N84" t="str" cm="1">
        <f t="array" ref="N84">_xlfn.IFS(AND(24&lt;=Table1[[#This Row],[Age]],Table1[[#This Row],[Age]]&lt;=30),"24-30",Table1[[#This Row],[Age]]&lt;=35,"31-35",Table1[[#This Row],[Age]]&lt;=40,"36-40",Table1[[#This Row],[Age]]&lt;=45,"41-45",Table1[[#This Row],[Age]]&lt;=50,"46-50",Table1[[#This Row],[Age]]&lt;=55,"51-55",Table1[[#This Row],[Age]]&lt;=60,"56-60",Table1[[#This Row],[Age]]&lt;=66,"61-66")</f>
        <v>41-45</v>
      </c>
      <c r="O84" t="s">
        <v>1077</v>
      </c>
      <c r="P84" t="str" cm="1">
        <f t="array" ref="P84">_xlfn.IFS(Table1[[#This Row],[Company Tenure]]&lt;=5,"1-5",Table1[[#This Row],[Company Tenure]]&lt;=10,"6-10",Table1[[#This Row],[Company Tenure]]&lt;=15,"11-15",Table1[[#This Row],[Company Tenure]]&lt;=20, "15-20",Table1[[#This Row],[Company Tenure]]&gt;20,"Above 20")</f>
        <v>1-5</v>
      </c>
    </row>
    <row r="85" spans="1:16" x14ac:dyDescent="0.25">
      <c r="A85" t="s">
        <v>244</v>
      </c>
      <c r="B85" t="s">
        <v>132</v>
      </c>
      <c r="C85" t="s">
        <v>589</v>
      </c>
      <c r="D85" t="s">
        <v>1</v>
      </c>
      <c r="E85">
        <v>27</v>
      </c>
      <c r="F85" t="s">
        <v>133</v>
      </c>
      <c r="G85" t="s">
        <v>17</v>
      </c>
      <c r="H85" s="2">
        <v>56544</v>
      </c>
      <c r="I85" s="1">
        <v>44053</v>
      </c>
      <c r="J85" s="3">
        <v>6</v>
      </c>
      <c r="K85" t="s">
        <v>27</v>
      </c>
      <c r="L85" t="s">
        <v>85</v>
      </c>
      <c r="M85">
        <v>4</v>
      </c>
      <c r="N85" t="str" cm="1">
        <f t="array" ref="N85">_xlfn.IFS(AND(24&lt;=Table1[[#This Row],[Age]],Table1[[#This Row],[Age]]&lt;=30),"24-30",Table1[[#This Row],[Age]]&lt;=35,"31-35",Table1[[#This Row],[Age]]&lt;=40,"36-40",Table1[[#This Row],[Age]]&lt;=45,"41-45",Table1[[#This Row],[Age]]&lt;=50,"46-50",Table1[[#This Row],[Age]]&lt;=55,"51-55",Table1[[#This Row],[Age]]&lt;=60,"56-60",Table1[[#This Row],[Age]]&lt;=66,"61-66")</f>
        <v>24-30</v>
      </c>
      <c r="O85" t="s">
        <v>1077</v>
      </c>
      <c r="P85" t="str" cm="1">
        <f t="array" ref="P85">_xlfn.IFS(Table1[[#This Row],[Company Tenure]]&lt;=5,"1-5",Table1[[#This Row],[Company Tenure]]&lt;=10,"6-10",Table1[[#This Row],[Company Tenure]]&lt;=15,"11-15",Table1[[#This Row],[Company Tenure]]&lt;=20, "15-20",Table1[[#This Row],[Company Tenure]]&gt;20,"Above 20")</f>
        <v>6-10</v>
      </c>
    </row>
    <row r="86" spans="1:16" x14ac:dyDescent="0.25">
      <c r="A86" t="s">
        <v>245</v>
      </c>
      <c r="B86" t="s">
        <v>6</v>
      </c>
      <c r="C86" t="s">
        <v>287</v>
      </c>
      <c r="D86" t="s">
        <v>1</v>
      </c>
      <c r="E86">
        <v>40</v>
      </c>
      <c r="F86" t="s">
        <v>36</v>
      </c>
      <c r="G86" t="s">
        <v>216</v>
      </c>
      <c r="H86" s="2">
        <v>209892</v>
      </c>
      <c r="I86" s="1">
        <v>42239</v>
      </c>
      <c r="J86" s="3">
        <v>11</v>
      </c>
      <c r="K86" t="s">
        <v>239</v>
      </c>
      <c r="L86" t="s">
        <v>107</v>
      </c>
      <c r="M86">
        <v>3</v>
      </c>
      <c r="N86" t="str" cm="1">
        <f t="array" ref="N86">_xlfn.IFS(AND(24&lt;=Table1[[#This Row],[Age]],Table1[[#This Row],[Age]]&lt;=30),"24-30",Table1[[#This Row],[Age]]&lt;=35,"31-35",Table1[[#This Row],[Age]]&lt;=40,"36-40",Table1[[#This Row],[Age]]&lt;=45,"41-45",Table1[[#This Row],[Age]]&lt;=50,"46-50",Table1[[#This Row],[Age]]&lt;=55,"51-55",Table1[[#This Row],[Age]]&lt;=60,"56-60",Table1[[#This Row],[Age]]&lt;=66,"61-66")</f>
        <v>36-40</v>
      </c>
      <c r="O86" t="s">
        <v>1079</v>
      </c>
      <c r="P86" t="str" cm="1">
        <f t="array" ref="P86">_xlfn.IFS(Table1[[#This Row],[Company Tenure]]&lt;=5,"1-5",Table1[[#This Row],[Company Tenure]]&lt;=10,"6-10",Table1[[#This Row],[Company Tenure]]&lt;=15,"11-15",Table1[[#This Row],[Company Tenure]]&lt;=20, "15-20",Table1[[#This Row],[Company Tenure]]&gt;20,"Above 20")</f>
        <v>11-15</v>
      </c>
    </row>
    <row r="87" spans="1:16" x14ac:dyDescent="0.25">
      <c r="A87" t="s">
        <v>246</v>
      </c>
      <c r="B87" t="s">
        <v>21</v>
      </c>
      <c r="C87" t="s">
        <v>7</v>
      </c>
      <c r="D87" t="s">
        <v>23</v>
      </c>
      <c r="E87">
        <v>37</v>
      </c>
      <c r="F87" t="s">
        <v>295</v>
      </c>
      <c r="G87" t="s">
        <v>44</v>
      </c>
      <c r="H87" s="2">
        <v>72914</v>
      </c>
      <c r="I87" s="1">
        <v>43836</v>
      </c>
      <c r="J87" s="3">
        <v>6</v>
      </c>
      <c r="K87" t="s">
        <v>247</v>
      </c>
      <c r="L87" t="s">
        <v>49</v>
      </c>
      <c r="M87">
        <v>3</v>
      </c>
      <c r="N87" t="str" cm="1">
        <f t="array" ref="N87">_xlfn.IFS(AND(24&lt;=Table1[[#This Row],[Age]],Table1[[#This Row],[Age]]&lt;=30),"24-30",Table1[[#This Row],[Age]]&lt;=35,"31-35",Table1[[#This Row],[Age]]&lt;=40,"36-40",Table1[[#This Row],[Age]]&lt;=45,"41-45",Table1[[#This Row],[Age]]&lt;=50,"46-50",Table1[[#This Row],[Age]]&lt;=55,"51-55",Table1[[#This Row],[Age]]&lt;=60,"56-60",Table1[[#This Row],[Age]]&lt;=66,"61-66")</f>
        <v>36-40</v>
      </c>
      <c r="O87" t="s">
        <v>1077</v>
      </c>
      <c r="P87" t="str" cm="1">
        <f t="array" ref="P87">_xlfn.IFS(Table1[[#This Row],[Company Tenure]]&lt;=5,"1-5",Table1[[#This Row],[Company Tenure]]&lt;=10,"6-10",Table1[[#This Row],[Company Tenure]]&lt;=15,"11-15",Table1[[#This Row],[Company Tenure]]&lt;=20, "15-20",Table1[[#This Row],[Company Tenure]]&gt;20,"Above 20")</f>
        <v>6-10</v>
      </c>
    </row>
    <row r="88" spans="1:16" x14ac:dyDescent="0.25">
      <c r="A88" t="s">
        <v>248</v>
      </c>
      <c r="B88" t="s">
        <v>184</v>
      </c>
      <c r="C88" t="s">
        <v>287</v>
      </c>
      <c r="D88" t="s">
        <v>23</v>
      </c>
      <c r="E88">
        <v>53</v>
      </c>
      <c r="F88" t="s">
        <v>133</v>
      </c>
      <c r="G88" t="s">
        <v>17</v>
      </c>
      <c r="H88" s="2">
        <v>56299</v>
      </c>
      <c r="I88" s="1">
        <v>39748</v>
      </c>
      <c r="J88" s="3">
        <v>17</v>
      </c>
      <c r="K88" t="s">
        <v>249</v>
      </c>
      <c r="L88" t="s">
        <v>28</v>
      </c>
      <c r="M88">
        <v>3</v>
      </c>
      <c r="N88" t="str" cm="1">
        <f t="array" ref="N88">_xlfn.IFS(AND(24&lt;=Table1[[#This Row],[Age]],Table1[[#This Row],[Age]]&lt;=30),"24-30",Table1[[#This Row],[Age]]&lt;=35,"31-35",Table1[[#This Row],[Age]]&lt;=40,"36-40",Table1[[#This Row],[Age]]&lt;=45,"41-45",Table1[[#This Row],[Age]]&lt;=50,"46-50",Table1[[#This Row],[Age]]&lt;=55,"51-55",Table1[[#This Row],[Age]]&lt;=60,"56-60",Table1[[#This Row],[Age]]&lt;=66,"61-66")</f>
        <v>51-55</v>
      </c>
      <c r="O88" t="s">
        <v>1077</v>
      </c>
      <c r="P88" t="str" cm="1">
        <f t="array" ref="P88">_xlfn.IFS(Table1[[#This Row],[Company Tenure]]&lt;=5,"1-5",Table1[[#This Row],[Company Tenure]]&lt;=10,"6-10",Table1[[#This Row],[Company Tenure]]&lt;=15,"11-15",Table1[[#This Row],[Company Tenure]]&lt;=20, "15-20",Table1[[#This Row],[Company Tenure]]&gt;20,"Above 20")</f>
        <v>15-20</v>
      </c>
    </row>
    <row r="89" spans="1:16" x14ac:dyDescent="0.25">
      <c r="A89" t="s">
        <v>250</v>
      </c>
      <c r="B89" t="s">
        <v>355</v>
      </c>
      <c r="C89" t="s">
        <v>356</v>
      </c>
      <c r="D89" t="s">
        <v>8</v>
      </c>
      <c r="E89">
        <v>46</v>
      </c>
      <c r="F89" t="s">
        <v>142</v>
      </c>
      <c r="G89" t="s">
        <v>100</v>
      </c>
      <c r="H89" s="2">
        <v>49501</v>
      </c>
      <c r="I89" s="1" t="s">
        <v>1059</v>
      </c>
      <c r="J89" s="3" t="s">
        <v>1059</v>
      </c>
      <c r="K89" t="s">
        <v>251</v>
      </c>
      <c r="L89" t="s">
        <v>107</v>
      </c>
      <c r="M89">
        <v>3</v>
      </c>
      <c r="N89" t="str" cm="1">
        <f t="array" ref="N89">_xlfn.IFS(AND(24&lt;=Table1[[#This Row],[Age]],Table1[[#This Row],[Age]]&lt;=30),"24-30",Table1[[#This Row],[Age]]&lt;=35,"31-35",Table1[[#This Row],[Age]]&lt;=40,"36-40",Table1[[#This Row],[Age]]&lt;=45,"41-45",Table1[[#This Row],[Age]]&lt;=50,"46-50",Table1[[#This Row],[Age]]&lt;=55,"51-55",Table1[[#This Row],[Age]]&lt;=60,"56-60",Table1[[#This Row],[Age]]&lt;=66,"61-66")</f>
        <v>46-50</v>
      </c>
      <c r="O89" t="s">
        <v>1076</v>
      </c>
      <c r="P89" t="str" cm="1">
        <f t="array" ref="P89">_xlfn.IFS(Table1[[#This Row],[Company Tenure]]&lt;=5,"1-5",Table1[[#This Row],[Company Tenure]]&lt;=10,"6-10",Table1[[#This Row],[Company Tenure]]&lt;=15,"11-15",Table1[[#This Row],[Company Tenure]]&lt;=20, "15-20",Table1[[#This Row],[Company Tenure]]&gt;20,"Above 20")</f>
        <v>Above 20</v>
      </c>
    </row>
    <row r="90" spans="1:16" x14ac:dyDescent="0.25">
      <c r="A90" t="s">
        <v>252</v>
      </c>
      <c r="B90" t="s">
        <v>21</v>
      </c>
      <c r="C90" t="s">
        <v>169</v>
      </c>
      <c r="D90" t="s">
        <v>23</v>
      </c>
      <c r="E90">
        <v>49</v>
      </c>
      <c r="F90" t="s">
        <v>313</v>
      </c>
      <c r="G90" t="s">
        <v>37</v>
      </c>
      <c r="H90" s="2">
        <v>97252.5</v>
      </c>
      <c r="I90" s="1">
        <v>41072</v>
      </c>
      <c r="J90" s="3">
        <v>14</v>
      </c>
      <c r="K90" t="s">
        <v>253</v>
      </c>
      <c r="L90" t="s">
        <v>11</v>
      </c>
      <c r="M90">
        <v>1</v>
      </c>
      <c r="N90" t="str" cm="1">
        <f t="array" ref="N90">_xlfn.IFS(AND(24&lt;=Table1[[#This Row],[Age]],Table1[[#This Row],[Age]]&lt;=30),"24-30",Table1[[#This Row],[Age]]&lt;=35,"31-35",Table1[[#This Row],[Age]]&lt;=40,"36-40",Table1[[#This Row],[Age]]&lt;=45,"41-45",Table1[[#This Row],[Age]]&lt;=50,"46-50",Table1[[#This Row],[Age]]&lt;=55,"51-55",Table1[[#This Row],[Age]]&lt;=60,"56-60",Table1[[#This Row],[Age]]&lt;=66,"61-66")</f>
        <v>46-50</v>
      </c>
      <c r="O90" t="s">
        <v>1077</v>
      </c>
      <c r="P90" t="str" cm="1">
        <f t="array" ref="P90">_xlfn.IFS(Table1[[#This Row],[Company Tenure]]&lt;=5,"1-5",Table1[[#This Row],[Company Tenure]]&lt;=10,"6-10",Table1[[#This Row],[Company Tenure]]&lt;=15,"11-15",Table1[[#This Row],[Company Tenure]]&lt;=20, "15-20",Table1[[#This Row],[Company Tenure]]&gt;20,"Above 20")</f>
        <v>11-15</v>
      </c>
    </row>
    <row r="91" spans="1:16" x14ac:dyDescent="0.25">
      <c r="A91" t="s">
        <v>254</v>
      </c>
      <c r="B91" t="s">
        <v>30</v>
      </c>
      <c r="C91" t="s">
        <v>215</v>
      </c>
      <c r="D91" t="s">
        <v>1</v>
      </c>
      <c r="E91">
        <v>46</v>
      </c>
      <c r="F91" t="s">
        <v>32</v>
      </c>
      <c r="G91" t="s">
        <v>63</v>
      </c>
      <c r="H91" s="2">
        <v>88025</v>
      </c>
      <c r="I91" s="1">
        <v>38489</v>
      </c>
      <c r="J91" s="3">
        <v>21</v>
      </c>
      <c r="K91" t="s">
        <v>255</v>
      </c>
      <c r="L91" t="s">
        <v>65</v>
      </c>
      <c r="M91">
        <v>3</v>
      </c>
      <c r="N91" t="str" cm="1">
        <f t="array" ref="N91">_xlfn.IFS(AND(24&lt;=Table1[[#This Row],[Age]],Table1[[#This Row],[Age]]&lt;=30),"24-30",Table1[[#This Row],[Age]]&lt;=35,"31-35",Table1[[#This Row],[Age]]&lt;=40,"36-40",Table1[[#This Row],[Age]]&lt;=45,"41-45",Table1[[#This Row],[Age]]&lt;=50,"46-50",Table1[[#This Row],[Age]]&lt;=55,"51-55",Table1[[#This Row],[Age]]&lt;=60,"56-60",Table1[[#This Row],[Age]]&lt;=66,"61-66")</f>
        <v>46-50</v>
      </c>
      <c r="O91" t="s">
        <v>1077</v>
      </c>
      <c r="P91" t="str" cm="1">
        <f t="array" ref="P91">_xlfn.IFS(Table1[[#This Row],[Company Tenure]]&lt;=5,"1-5",Table1[[#This Row],[Company Tenure]]&lt;=10,"6-10",Table1[[#This Row],[Company Tenure]]&lt;=15,"11-15",Table1[[#This Row],[Company Tenure]]&lt;=20, "15-20",Table1[[#This Row],[Company Tenure]]&gt;20,"Above 20")</f>
        <v>Above 20</v>
      </c>
    </row>
    <row r="92" spans="1:16" x14ac:dyDescent="0.25">
      <c r="A92" t="s">
        <v>256</v>
      </c>
      <c r="B92" t="s">
        <v>16</v>
      </c>
      <c r="C92" t="s">
        <v>427</v>
      </c>
      <c r="D92" t="s">
        <v>8</v>
      </c>
      <c r="E92">
        <v>57</v>
      </c>
      <c r="F92" t="s">
        <v>313</v>
      </c>
      <c r="G92" t="s">
        <v>2</v>
      </c>
      <c r="H92" s="2">
        <v>120948</v>
      </c>
      <c r="I92" s="1">
        <v>41716</v>
      </c>
      <c r="J92" s="3">
        <v>12</v>
      </c>
      <c r="K92" t="s">
        <v>257</v>
      </c>
      <c r="L92" t="s">
        <v>14</v>
      </c>
      <c r="M92">
        <v>3</v>
      </c>
      <c r="N92" t="str" cm="1">
        <f t="array" ref="N92">_xlfn.IFS(AND(24&lt;=Table1[[#This Row],[Age]],Table1[[#This Row],[Age]]&lt;=30),"24-30",Table1[[#This Row],[Age]]&lt;=35,"31-35",Table1[[#This Row],[Age]]&lt;=40,"36-40",Table1[[#This Row],[Age]]&lt;=45,"41-45",Table1[[#This Row],[Age]]&lt;=50,"46-50",Table1[[#This Row],[Age]]&lt;=55,"51-55",Table1[[#This Row],[Age]]&lt;=60,"56-60",Table1[[#This Row],[Age]]&lt;=66,"61-66")</f>
        <v>56-60</v>
      </c>
      <c r="O92" t="s">
        <v>1074</v>
      </c>
      <c r="P92" t="str" cm="1">
        <f t="array" ref="P92">_xlfn.IFS(Table1[[#This Row],[Company Tenure]]&lt;=5,"1-5",Table1[[#This Row],[Company Tenure]]&lt;=10,"6-10",Table1[[#This Row],[Company Tenure]]&lt;=15,"11-15",Table1[[#This Row],[Company Tenure]]&lt;=20, "15-20",Table1[[#This Row],[Company Tenure]]&gt;20,"Above 20")</f>
        <v>11-15</v>
      </c>
    </row>
    <row r="93" spans="1:16" x14ac:dyDescent="0.25">
      <c r="A93" t="s">
        <v>258</v>
      </c>
      <c r="B93" t="s">
        <v>221</v>
      </c>
      <c r="C93" t="s">
        <v>589</v>
      </c>
      <c r="D93" t="s">
        <v>23</v>
      </c>
      <c r="E93">
        <v>45</v>
      </c>
      <c r="F93" t="s">
        <v>133</v>
      </c>
      <c r="G93" t="s">
        <v>2</v>
      </c>
      <c r="H93" s="2">
        <v>77596</v>
      </c>
      <c r="I93" s="1">
        <v>41259</v>
      </c>
      <c r="J93" s="3">
        <v>13</v>
      </c>
      <c r="K93" t="s">
        <v>259</v>
      </c>
      <c r="L93" t="s">
        <v>85</v>
      </c>
      <c r="M93">
        <v>5</v>
      </c>
      <c r="N93" t="str" cm="1">
        <f t="array" ref="N93">_xlfn.IFS(AND(24&lt;=Table1[[#This Row],[Age]],Table1[[#This Row],[Age]]&lt;=30),"24-30",Table1[[#This Row],[Age]]&lt;=35,"31-35",Table1[[#This Row],[Age]]&lt;=40,"36-40",Table1[[#This Row],[Age]]&lt;=45,"41-45",Table1[[#This Row],[Age]]&lt;=50,"46-50",Table1[[#This Row],[Age]]&lt;=55,"51-55",Table1[[#This Row],[Age]]&lt;=60,"56-60",Table1[[#This Row],[Age]]&lt;=66,"61-66")</f>
        <v>41-45</v>
      </c>
      <c r="O93" t="s">
        <v>1077</v>
      </c>
      <c r="P93" t="str" cm="1">
        <f t="array" ref="P93">_xlfn.IFS(Table1[[#This Row],[Company Tenure]]&lt;=5,"1-5",Table1[[#This Row],[Company Tenure]]&lt;=10,"6-10",Table1[[#This Row],[Company Tenure]]&lt;=15,"11-15",Table1[[#This Row],[Company Tenure]]&lt;=20, "15-20",Table1[[#This Row],[Company Tenure]]&gt;20,"Above 20")</f>
        <v>11-15</v>
      </c>
    </row>
    <row r="94" spans="1:16" x14ac:dyDescent="0.25">
      <c r="A94" t="s">
        <v>260</v>
      </c>
      <c r="B94" t="s">
        <v>374</v>
      </c>
      <c r="C94" t="s">
        <v>118</v>
      </c>
      <c r="D94" t="s">
        <v>8</v>
      </c>
      <c r="E94">
        <v>58</v>
      </c>
      <c r="F94" t="s">
        <v>295</v>
      </c>
      <c r="G94" t="s">
        <v>63</v>
      </c>
      <c r="H94" s="2">
        <v>86146</v>
      </c>
      <c r="I94" s="1">
        <v>38657</v>
      </c>
      <c r="J94" s="3">
        <v>20</v>
      </c>
      <c r="K94" t="s">
        <v>261</v>
      </c>
      <c r="L94" t="s">
        <v>25</v>
      </c>
      <c r="M94">
        <v>5</v>
      </c>
      <c r="N94" t="str" cm="1">
        <f t="array" ref="N94">_xlfn.IFS(AND(24&lt;=Table1[[#This Row],[Age]],Table1[[#This Row],[Age]]&lt;=30),"24-30",Table1[[#This Row],[Age]]&lt;=35,"31-35",Table1[[#This Row],[Age]]&lt;=40,"36-40",Table1[[#This Row],[Age]]&lt;=45,"41-45",Table1[[#This Row],[Age]]&lt;=50,"46-50",Table1[[#This Row],[Age]]&lt;=55,"51-55",Table1[[#This Row],[Age]]&lt;=60,"56-60",Table1[[#This Row],[Age]]&lt;=66,"61-66")</f>
        <v>56-60</v>
      </c>
      <c r="O94" t="s">
        <v>1077</v>
      </c>
      <c r="P94" t="str" cm="1">
        <f t="array" ref="P94">_xlfn.IFS(Table1[[#This Row],[Company Tenure]]&lt;=5,"1-5",Table1[[#This Row],[Company Tenure]]&lt;=10,"6-10",Table1[[#This Row],[Company Tenure]]&lt;=15,"11-15",Table1[[#This Row],[Company Tenure]]&lt;=20, "15-20",Table1[[#This Row],[Company Tenure]]&gt;20,"Above 20")</f>
        <v>15-20</v>
      </c>
    </row>
    <row r="95" spans="1:16" x14ac:dyDescent="0.25">
      <c r="A95" t="s">
        <v>262</v>
      </c>
      <c r="B95" t="s">
        <v>99</v>
      </c>
      <c r="C95" t="s">
        <v>263</v>
      </c>
      <c r="D95" t="s">
        <v>23</v>
      </c>
      <c r="E95">
        <v>33</v>
      </c>
      <c r="F95" t="s">
        <v>9</v>
      </c>
      <c r="G95" t="s">
        <v>2</v>
      </c>
      <c r="H95" s="2">
        <v>135726</v>
      </c>
      <c r="I95" s="1">
        <v>41963</v>
      </c>
      <c r="J95" s="3">
        <v>11</v>
      </c>
      <c r="K95" t="s">
        <v>264</v>
      </c>
      <c r="L95" t="s">
        <v>54</v>
      </c>
      <c r="M95">
        <v>5</v>
      </c>
      <c r="N95" t="str" cm="1">
        <f t="array" ref="N95">_xlfn.IFS(AND(24&lt;=Table1[[#This Row],[Age]],Table1[[#This Row],[Age]]&lt;=30),"24-30",Table1[[#This Row],[Age]]&lt;=35,"31-35",Table1[[#This Row],[Age]]&lt;=40,"36-40",Table1[[#This Row],[Age]]&lt;=45,"41-45",Table1[[#This Row],[Age]]&lt;=50,"46-50",Table1[[#This Row],[Age]]&lt;=55,"51-55",Table1[[#This Row],[Age]]&lt;=60,"56-60",Table1[[#This Row],[Age]]&lt;=66,"61-66")</f>
        <v>31-35</v>
      </c>
      <c r="O95" t="s">
        <v>1074</v>
      </c>
      <c r="P95" t="str" cm="1">
        <f t="array" ref="P95">_xlfn.IFS(Table1[[#This Row],[Company Tenure]]&lt;=5,"1-5",Table1[[#This Row],[Company Tenure]]&lt;=10,"6-10",Table1[[#This Row],[Company Tenure]]&lt;=15,"11-15",Table1[[#This Row],[Company Tenure]]&lt;=20, "15-20",Table1[[#This Row],[Company Tenure]]&gt;20,"Above 20")</f>
        <v>11-15</v>
      </c>
    </row>
    <row r="96" spans="1:16" x14ac:dyDescent="0.25">
      <c r="A96" t="s">
        <v>265</v>
      </c>
      <c r="B96" t="s">
        <v>87</v>
      </c>
      <c r="C96" t="s">
        <v>141</v>
      </c>
      <c r="D96" t="s">
        <v>23</v>
      </c>
      <c r="E96">
        <v>55</v>
      </c>
      <c r="F96" t="s">
        <v>154</v>
      </c>
      <c r="G96" t="s">
        <v>63</v>
      </c>
      <c r="H96" s="2">
        <v>44154</v>
      </c>
      <c r="I96" s="1">
        <v>38999</v>
      </c>
      <c r="J96" s="3">
        <v>20</v>
      </c>
      <c r="K96" t="s">
        <v>266</v>
      </c>
      <c r="L96" t="s">
        <v>120</v>
      </c>
      <c r="M96">
        <v>5</v>
      </c>
      <c r="N96" t="str" cm="1">
        <f t="array" ref="N96">_xlfn.IFS(AND(24&lt;=Table1[[#This Row],[Age]],Table1[[#This Row],[Age]]&lt;=30),"24-30",Table1[[#This Row],[Age]]&lt;=35,"31-35",Table1[[#This Row],[Age]]&lt;=40,"36-40",Table1[[#This Row],[Age]]&lt;=45,"41-45",Table1[[#This Row],[Age]]&lt;=50,"46-50",Table1[[#This Row],[Age]]&lt;=55,"51-55",Table1[[#This Row],[Age]]&lt;=60,"56-60",Table1[[#This Row],[Age]]&lt;=66,"61-66")</f>
        <v>51-55</v>
      </c>
      <c r="O96" t="s">
        <v>1076</v>
      </c>
      <c r="P96" t="str" cm="1">
        <f t="array" ref="P96">_xlfn.IFS(Table1[[#This Row],[Company Tenure]]&lt;=5,"1-5",Table1[[#This Row],[Company Tenure]]&lt;=10,"6-10",Table1[[#This Row],[Company Tenure]]&lt;=15,"11-15",Table1[[#This Row],[Company Tenure]]&lt;=20, "15-20",Table1[[#This Row],[Company Tenure]]&gt;20,"Above 20")</f>
        <v>15-20</v>
      </c>
    </row>
    <row r="97" spans="1:16" x14ac:dyDescent="0.25">
      <c r="A97" t="s">
        <v>267</v>
      </c>
      <c r="B97" t="s">
        <v>268</v>
      </c>
      <c r="C97" t="s">
        <v>269</v>
      </c>
      <c r="D97" t="s">
        <v>23</v>
      </c>
      <c r="E97">
        <v>50</v>
      </c>
      <c r="F97" t="s">
        <v>203</v>
      </c>
      <c r="G97" t="s">
        <v>216</v>
      </c>
      <c r="H97" s="2">
        <v>143601</v>
      </c>
      <c r="I97" s="1">
        <v>38467</v>
      </c>
      <c r="J97" s="3">
        <v>21</v>
      </c>
      <c r="K97" t="s">
        <v>270</v>
      </c>
      <c r="L97" t="s">
        <v>120</v>
      </c>
      <c r="M97">
        <v>4</v>
      </c>
      <c r="N97" t="str" cm="1">
        <f t="array" ref="N97">_xlfn.IFS(AND(24&lt;=Table1[[#This Row],[Age]],Table1[[#This Row],[Age]]&lt;=30),"24-30",Table1[[#This Row],[Age]]&lt;=35,"31-35",Table1[[#This Row],[Age]]&lt;=40,"36-40",Table1[[#This Row],[Age]]&lt;=45,"41-45",Table1[[#This Row],[Age]]&lt;=50,"46-50",Table1[[#This Row],[Age]]&lt;=55,"51-55",Table1[[#This Row],[Age]]&lt;=60,"56-60",Table1[[#This Row],[Age]]&lt;=66,"61-66")</f>
        <v>46-50</v>
      </c>
      <c r="O97" t="s">
        <v>1074</v>
      </c>
      <c r="P97" t="str" cm="1">
        <f t="array" ref="P97">_xlfn.IFS(Table1[[#This Row],[Company Tenure]]&lt;=5,"1-5",Table1[[#This Row],[Company Tenure]]&lt;=10,"6-10",Table1[[#This Row],[Company Tenure]]&lt;=15,"11-15",Table1[[#This Row],[Company Tenure]]&lt;=20, "15-20",Table1[[#This Row],[Company Tenure]]&gt;20,"Above 20")</f>
        <v>Above 20</v>
      </c>
    </row>
    <row r="98" spans="1:16" x14ac:dyDescent="0.25">
      <c r="A98" t="s">
        <v>271</v>
      </c>
      <c r="B98" t="s">
        <v>268</v>
      </c>
      <c r="C98" t="s">
        <v>83</v>
      </c>
      <c r="D98" t="s">
        <v>23</v>
      </c>
      <c r="E98">
        <v>51</v>
      </c>
      <c r="F98" t="s">
        <v>203</v>
      </c>
      <c r="G98" t="s">
        <v>44</v>
      </c>
      <c r="H98" s="2">
        <v>41193</v>
      </c>
      <c r="I98" s="1">
        <v>40940</v>
      </c>
      <c r="J98" s="3">
        <v>14</v>
      </c>
      <c r="K98" t="s">
        <v>272</v>
      </c>
      <c r="L98" t="s">
        <v>65</v>
      </c>
      <c r="M98">
        <v>4</v>
      </c>
      <c r="N98" t="str" cm="1">
        <f t="array" ref="N98">_xlfn.IFS(AND(24&lt;=Table1[[#This Row],[Age]],Table1[[#This Row],[Age]]&lt;=30),"24-30",Table1[[#This Row],[Age]]&lt;=35,"31-35",Table1[[#This Row],[Age]]&lt;=40,"36-40",Table1[[#This Row],[Age]]&lt;=45,"41-45",Table1[[#This Row],[Age]]&lt;=50,"46-50",Table1[[#This Row],[Age]]&lt;=55,"51-55",Table1[[#This Row],[Age]]&lt;=60,"56-60",Table1[[#This Row],[Age]]&lt;=66,"61-66")</f>
        <v>51-55</v>
      </c>
      <c r="O98" t="s">
        <v>1076</v>
      </c>
      <c r="P98" t="str" cm="1">
        <f t="array" ref="P98">_xlfn.IFS(Table1[[#This Row],[Company Tenure]]&lt;=5,"1-5",Table1[[#This Row],[Company Tenure]]&lt;=10,"6-10",Table1[[#This Row],[Company Tenure]]&lt;=15,"11-15",Table1[[#This Row],[Company Tenure]]&lt;=20, "15-20",Table1[[#This Row],[Company Tenure]]&gt;20,"Above 20")</f>
        <v>11-15</v>
      </c>
    </row>
    <row r="99" spans="1:16" x14ac:dyDescent="0.25">
      <c r="A99" t="s">
        <v>273</v>
      </c>
      <c r="B99" t="s">
        <v>62</v>
      </c>
      <c r="C99" t="s">
        <v>589</v>
      </c>
      <c r="D99" t="s">
        <v>8</v>
      </c>
      <c r="E99">
        <v>49</v>
      </c>
      <c r="F99" t="s">
        <v>133</v>
      </c>
      <c r="G99" t="s">
        <v>2</v>
      </c>
      <c r="H99" s="2">
        <v>79859</v>
      </c>
      <c r="I99" s="1">
        <v>39696</v>
      </c>
      <c r="J99" s="3">
        <v>18</v>
      </c>
      <c r="K99" t="s">
        <v>274</v>
      </c>
      <c r="L99" t="s">
        <v>28</v>
      </c>
      <c r="M99">
        <v>4</v>
      </c>
      <c r="N99" t="str" cm="1">
        <f t="array" ref="N99">_xlfn.IFS(AND(24&lt;=Table1[[#This Row],[Age]],Table1[[#This Row],[Age]]&lt;=30),"24-30",Table1[[#This Row],[Age]]&lt;=35,"31-35",Table1[[#This Row],[Age]]&lt;=40,"36-40",Table1[[#This Row],[Age]]&lt;=45,"41-45",Table1[[#This Row],[Age]]&lt;=50,"46-50",Table1[[#This Row],[Age]]&lt;=55,"51-55",Table1[[#This Row],[Age]]&lt;=60,"56-60",Table1[[#This Row],[Age]]&lt;=66,"61-66")</f>
        <v>46-50</v>
      </c>
      <c r="O99" t="s">
        <v>1077</v>
      </c>
      <c r="P99" t="str" cm="1">
        <f t="array" ref="P99">_xlfn.IFS(Table1[[#This Row],[Company Tenure]]&lt;=5,"1-5",Table1[[#This Row],[Company Tenure]]&lt;=10,"6-10",Table1[[#This Row],[Company Tenure]]&lt;=15,"11-15",Table1[[#This Row],[Company Tenure]]&lt;=20, "15-20",Table1[[#This Row],[Company Tenure]]&gt;20,"Above 20")</f>
        <v>15-20</v>
      </c>
    </row>
    <row r="100" spans="1:16" x14ac:dyDescent="0.25">
      <c r="A100" t="s">
        <v>275</v>
      </c>
      <c r="B100" t="s">
        <v>268</v>
      </c>
      <c r="C100" t="s">
        <v>76</v>
      </c>
      <c r="D100" t="s">
        <v>23</v>
      </c>
      <c r="E100">
        <v>30</v>
      </c>
      <c r="F100" t="s">
        <v>181</v>
      </c>
      <c r="G100" t="s">
        <v>17</v>
      </c>
      <c r="H100" s="2">
        <v>52980</v>
      </c>
      <c r="I100" s="1" t="s">
        <v>1059</v>
      </c>
      <c r="J100" s="3" t="s">
        <v>1059</v>
      </c>
      <c r="K100" t="s">
        <v>276</v>
      </c>
      <c r="L100" t="s">
        <v>39</v>
      </c>
      <c r="M100">
        <v>5</v>
      </c>
      <c r="N100" t="str" cm="1">
        <f t="array" ref="N100">_xlfn.IFS(AND(24&lt;=Table1[[#This Row],[Age]],Table1[[#This Row],[Age]]&lt;=30),"24-30",Table1[[#This Row],[Age]]&lt;=35,"31-35",Table1[[#This Row],[Age]]&lt;=40,"36-40",Table1[[#This Row],[Age]]&lt;=45,"41-45",Table1[[#This Row],[Age]]&lt;=50,"46-50",Table1[[#This Row],[Age]]&lt;=55,"51-55",Table1[[#This Row],[Age]]&lt;=60,"56-60",Table1[[#This Row],[Age]]&lt;=66,"61-66")</f>
        <v>24-30</v>
      </c>
      <c r="O100" t="s">
        <v>1077</v>
      </c>
      <c r="P100" t="str" cm="1">
        <f t="array" ref="P100">_xlfn.IFS(Table1[[#This Row],[Company Tenure]]&lt;=5,"1-5",Table1[[#This Row],[Company Tenure]]&lt;=10,"6-10",Table1[[#This Row],[Company Tenure]]&lt;=15,"11-15",Table1[[#This Row],[Company Tenure]]&lt;=20, "15-20",Table1[[#This Row],[Company Tenure]]&gt;20,"Above 20")</f>
        <v>Above 20</v>
      </c>
    </row>
    <row r="101" spans="1:16" x14ac:dyDescent="0.25">
      <c r="A101" t="s">
        <v>277</v>
      </c>
      <c r="B101" t="s">
        <v>47</v>
      </c>
      <c r="C101" t="s">
        <v>76</v>
      </c>
      <c r="D101" t="s">
        <v>23</v>
      </c>
      <c r="E101">
        <v>44</v>
      </c>
      <c r="F101" t="s">
        <v>181</v>
      </c>
      <c r="G101" t="s">
        <v>37</v>
      </c>
      <c r="H101" s="2">
        <v>55096</v>
      </c>
      <c r="I101" s="1">
        <v>38590</v>
      </c>
      <c r="J101" s="3">
        <v>21</v>
      </c>
      <c r="K101" t="s">
        <v>278</v>
      </c>
      <c r="L101" t="s">
        <v>120</v>
      </c>
      <c r="M101">
        <v>3</v>
      </c>
      <c r="N101" t="str" cm="1">
        <f t="array" ref="N101">_xlfn.IFS(AND(24&lt;=Table1[[#This Row],[Age]],Table1[[#This Row],[Age]]&lt;=30),"24-30",Table1[[#This Row],[Age]]&lt;=35,"31-35",Table1[[#This Row],[Age]]&lt;=40,"36-40",Table1[[#This Row],[Age]]&lt;=45,"41-45",Table1[[#This Row],[Age]]&lt;=50,"46-50",Table1[[#This Row],[Age]]&lt;=55,"51-55",Table1[[#This Row],[Age]]&lt;=60,"56-60",Table1[[#This Row],[Age]]&lt;=66,"61-66")</f>
        <v>41-45</v>
      </c>
      <c r="O101" t="s">
        <v>1077</v>
      </c>
      <c r="P101" t="str" cm="1">
        <f t="array" ref="P101">_xlfn.IFS(Table1[[#This Row],[Company Tenure]]&lt;=5,"1-5",Table1[[#This Row],[Company Tenure]]&lt;=10,"6-10",Table1[[#This Row],[Company Tenure]]&lt;=15,"11-15",Table1[[#This Row],[Company Tenure]]&lt;=20, "15-20",Table1[[#This Row],[Company Tenure]]&gt;20,"Above 20")</f>
        <v>Above 20</v>
      </c>
    </row>
    <row r="102" spans="1:16" x14ac:dyDescent="0.25">
      <c r="A102" t="s">
        <v>279</v>
      </c>
      <c r="B102" t="s">
        <v>16</v>
      </c>
      <c r="C102" t="s">
        <v>169</v>
      </c>
      <c r="D102" t="s">
        <v>8</v>
      </c>
      <c r="E102">
        <v>43</v>
      </c>
      <c r="F102" t="s">
        <v>133</v>
      </c>
      <c r="G102" t="s">
        <v>44</v>
      </c>
      <c r="H102" s="2">
        <v>49534</v>
      </c>
      <c r="I102" s="1">
        <v>43917</v>
      </c>
      <c r="J102" s="3">
        <v>6</v>
      </c>
      <c r="K102" t="s">
        <v>280</v>
      </c>
      <c r="L102" t="s">
        <v>65</v>
      </c>
      <c r="M102">
        <v>4</v>
      </c>
      <c r="N102" t="str" cm="1">
        <f t="array" ref="N102">_xlfn.IFS(AND(24&lt;=Table1[[#This Row],[Age]],Table1[[#This Row],[Age]]&lt;=30),"24-30",Table1[[#This Row],[Age]]&lt;=35,"31-35",Table1[[#This Row],[Age]]&lt;=40,"36-40",Table1[[#This Row],[Age]]&lt;=45,"41-45",Table1[[#This Row],[Age]]&lt;=50,"46-50",Table1[[#This Row],[Age]]&lt;=55,"51-55",Table1[[#This Row],[Age]]&lt;=60,"56-60",Table1[[#This Row],[Age]]&lt;=66,"61-66")</f>
        <v>41-45</v>
      </c>
      <c r="O102" t="s">
        <v>1076</v>
      </c>
      <c r="P102" t="str" cm="1">
        <f t="array" ref="P102">_xlfn.IFS(Table1[[#This Row],[Company Tenure]]&lt;=5,"1-5",Table1[[#This Row],[Company Tenure]]&lt;=10,"6-10",Table1[[#This Row],[Company Tenure]]&lt;=15,"11-15",Table1[[#This Row],[Company Tenure]]&lt;=20, "15-20",Table1[[#This Row],[Company Tenure]]&gt;20,"Above 20")</f>
        <v>6-10</v>
      </c>
    </row>
    <row r="103" spans="1:16" x14ac:dyDescent="0.25">
      <c r="A103" t="s">
        <v>281</v>
      </c>
      <c r="B103" t="s">
        <v>282</v>
      </c>
      <c r="C103" t="s">
        <v>375</v>
      </c>
      <c r="D103" t="s">
        <v>1</v>
      </c>
      <c r="E103">
        <v>55</v>
      </c>
      <c r="F103" t="s">
        <v>32</v>
      </c>
      <c r="G103" t="s">
        <v>161</v>
      </c>
      <c r="H103" s="2">
        <v>167996</v>
      </c>
      <c r="I103" s="1">
        <v>45191</v>
      </c>
      <c r="J103" s="3">
        <v>3</v>
      </c>
      <c r="K103" t="s">
        <v>283</v>
      </c>
      <c r="L103" t="s">
        <v>120</v>
      </c>
      <c r="M103">
        <v>3</v>
      </c>
      <c r="N103" t="str" cm="1">
        <f t="array" ref="N103">_xlfn.IFS(AND(24&lt;=Table1[[#This Row],[Age]],Table1[[#This Row],[Age]]&lt;=30),"24-30",Table1[[#This Row],[Age]]&lt;=35,"31-35",Table1[[#This Row],[Age]]&lt;=40,"36-40",Table1[[#This Row],[Age]]&lt;=45,"41-45",Table1[[#This Row],[Age]]&lt;=50,"46-50",Table1[[#This Row],[Age]]&lt;=55,"51-55",Table1[[#This Row],[Age]]&lt;=60,"56-60",Table1[[#This Row],[Age]]&lt;=66,"61-66")</f>
        <v>51-55</v>
      </c>
      <c r="O103" t="s">
        <v>1078</v>
      </c>
      <c r="P103" t="str" cm="1">
        <f t="array" ref="P103">_xlfn.IFS(Table1[[#This Row],[Company Tenure]]&lt;=5,"1-5",Table1[[#This Row],[Company Tenure]]&lt;=10,"6-10",Table1[[#This Row],[Company Tenure]]&lt;=15,"11-15",Table1[[#This Row],[Company Tenure]]&lt;=20, "15-20",Table1[[#This Row],[Company Tenure]]&gt;20,"Above 20")</f>
        <v>1-5</v>
      </c>
    </row>
    <row r="104" spans="1:16" x14ac:dyDescent="0.25">
      <c r="A104" t="s">
        <v>284</v>
      </c>
      <c r="B104" t="s">
        <v>282</v>
      </c>
      <c r="C104" t="s">
        <v>80</v>
      </c>
      <c r="D104" t="s">
        <v>8</v>
      </c>
      <c r="E104">
        <v>35</v>
      </c>
      <c r="F104" t="s">
        <v>181</v>
      </c>
      <c r="G104" t="s">
        <v>63</v>
      </c>
      <c r="H104" s="2">
        <v>61524</v>
      </c>
      <c r="I104" s="1">
        <v>43599</v>
      </c>
      <c r="J104" s="3">
        <v>7</v>
      </c>
      <c r="K104" t="s">
        <v>285</v>
      </c>
      <c r="L104" t="s">
        <v>54</v>
      </c>
      <c r="M104">
        <v>3</v>
      </c>
      <c r="N104" t="str" cm="1">
        <f t="array" ref="N104">_xlfn.IFS(AND(24&lt;=Table1[[#This Row],[Age]],Table1[[#This Row],[Age]]&lt;=30),"24-30",Table1[[#This Row],[Age]]&lt;=35,"31-35",Table1[[#This Row],[Age]]&lt;=40,"36-40",Table1[[#This Row],[Age]]&lt;=45,"41-45",Table1[[#This Row],[Age]]&lt;=50,"46-50",Table1[[#This Row],[Age]]&lt;=55,"51-55",Table1[[#This Row],[Age]]&lt;=60,"56-60",Table1[[#This Row],[Age]]&lt;=66,"61-66")</f>
        <v>31-35</v>
      </c>
      <c r="O104" t="s">
        <v>1077</v>
      </c>
      <c r="P104" t="str" cm="1">
        <f t="array" ref="P104">_xlfn.IFS(Table1[[#This Row],[Company Tenure]]&lt;=5,"1-5",Table1[[#This Row],[Company Tenure]]&lt;=10,"6-10",Table1[[#This Row],[Company Tenure]]&lt;=15,"11-15",Table1[[#This Row],[Company Tenure]]&lt;=20, "15-20",Table1[[#This Row],[Company Tenure]]&gt;20,"Above 20")</f>
        <v>6-10</v>
      </c>
    </row>
    <row r="105" spans="1:16" x14ac:dyDescent="0.25">
      <c r="A105" t="s">
        <v>286</v>
      </c>
      <c r="B105" t="s">
        <v>321</v>
      </c>
      <c r="C105" t="s">
        <v>287</v>
      </c>
      <c r="D105" t="s">
        <v>23</v>
      </c>
      <c r="E105">
        <v>44</v>
      </c>
      <c r="F105" t="s">
        <v>133</v>
      </c>
      <c r="G105" t="s">
        <v>2</v>
      </c>
      <c r="H105" s="2">
        <v>88329.82</v>
      </c>
      <c r="I105" s="1">
        <v>41376</v>
      </c>
      <c r="J105" s="3">
        <v>13</v>
      </c>
      <c r="K105" t="s">
        <v>288</v>
      </c>
      <c r="L105" t="s">
        <v>19</v>
      </c>
      <c r="M105">
        <v>2</v>
      </c>
      <c r="N105" t="str" cm="1">
        <f t="array" ref="N105">_xlfn.IFS(AND(24&lt;=Table1[[#This Row],[Age]],Table1[[#This Row],[Age]]&lt;=30),"24-30",Table1[[#This Row],[Age]]&lt;=35,"31-35",Table1[[#This Row],[Age]]&lt;=40,"36-40",Table1[[#This Row],[Age]]&lt;=45,"41-45",Table1[[#This Row],[Age]]&lt;=50,"46-50",Table1[[#This Row],[Age]]&lt;=55,"51-55",Table1[[#This Row],[Age]]&lt;=60,"56-60",Table1[[#This Row],[Age]]&lt;=66,"61-66")</f>
        <v>41-45</v>
      </c>
      <c r="O105" t="s">
        <v>1077</v>
      </c>
      <c r="P105" t="str" cm="1">
        <f t="array" ref="P105">_xlfn.IFS(Table1[[#This Row],[Company Tenure]]&lt;=5,"1-5",Table1[[#This Row],[Company Tenure]]&lt;=10,"6-10",Table1[[#This Row],[Company Tenure]]&lt;=15,"11-15",Table1[[#This Row],[Company Tenure]]&lt;=20, "15-20",Table1[[#This Row],[Company Tenure]]&gt;20,"Above 20")</f>
        <v>11-15</v>
      </c>
    </row>
    <row r="106" spans="1:16" x14ac:dyDescent="0.25">
      <c r="A106" t="s">
        <v>289</v>
      </c>
      <c r="B106" t="s">
        <v>290</v>
      </c>
      <c r="C106" t="s">
        <v>291</v>
      </c>
      <c r="D106" t="s">
        <v>8</v>
      </c>
      <c r="E106">
        <v>56</v>
      </c>
      <c r="F106" t="s">
        <v>36</v>
      </c>
      <c r="G106" t="s">
        <v>37</v>
      </c>
      <c r="H106" s="2">
        <v>98330</v>
      </c>
      <c r="I106" s="1">
        <v>38391</v>
      </c>
      <c r="J106" s="3">
        <v>21</v>
      </c>
      <c r="K106" t="s">
        <v>201</v>
      </c>
      <c r="L106" t="s">
        <v>207</v>
      </c>
      <c r="M106">
        <v>4</v>
      </c>
      <c r="N106" t="str" cm="1">
        <f t="array" ref="N106">_xlfn.IFS(AND(24&lt;=Table1[[#This Row],[Age]],Table1[[#This Row],[Age]]&lt;=30),"24-30",Table1[[#This Row],[Age]]&lt;=35,"31-35",Table1[[#This Row],[Age]]&lt;=40,"36-40",Table1[[#This Row],[Age]]&lt;=45,"41-45",Table1[[#This Row],[Age]]&lt;=50,"46-50",Table1[[#This Row],[Age]]&lt;=55,"51-55",Table1[[#This Row],[Age]]&lt;=60,"56-60",Table1[[#This Row],[Age]]&lt;=66,"61-66")</f>
        <v>56-60</v>
      </c>
      <c r="O106" t="s">
        <v>1077</v>
      </c>
      <c r="P106" t="str" cm="1">
        <f t="array" ref="P106">_xlfn.IFS(Table1[[#This Row],[Company Tenure]]&lt;=5,"1-5",Table1[[#This Row],[Company Tenure]]&lt;=10,"6-10",Table1[[#This Row],[Company Tenure]]&lt;=15,"11-15",Table1[[#This Row],[Company Tenure]]&lt;=20, "15-20",Table1[[#This Row],[Company Tenure]]&gt;20,"Above 20")</f>
        <v>Above 20</v>
      </c>
    </row>
    <row r="107" spans="1:16" x14ac:dyDescent="0.25">
      <c r="A107" t="s">
        <v>292</v>
      </c>
      <c r="B107" t="s">
        <v>43</v>
      </c>
      <c r="C107" t="s">
        <v>308</v>
      </c>
      <c r="D107" t="s">
        <v>1</v>
      </c>
      <c r="E107">
        <v>36</v>
      </c>
      <c r="F107" t="s">
        <v>142</v>
      </c>
      <c r="G107" t="s">
        <v>44</v>
      </c>
      <c r="H107" s="2">
        <v>48327</v>
      </c>
      <c r="I107" s="1">
        <v>41434</v>
      </c>
      <c r="J107" s="3">
        <v>13</v>
      </c>
      <c r="K107" t="s">
        <v>293</v>
      </c>
      <c r="L107" t="s">
        <v>107</v>
      </c>
      <c r="M107">
        <v>2</v>
      </c>
      <c r="N107" t="str" cm="1">
        <f t="array" ref="N107">_xlfn.IFS(AND(24&lt;=Table1[[#This Row],[Age]],Table1[[#This Row],[Age]]&lt;=30),"24-30",Table1[[#This Row],[Age]]&lt;=35,"31-35",Table1[[#This Row],[Age]]&lt;=40,"36-40",Table1[[#This Row],[Age]]&lt;=45,"41-45",Table1[[#This Row],[Age]]&lt;=50,"46-50",Table1[[#This Row],[Age]]&lt;=55,"51-55",Table1[[#This Row],[Age]]&lt;=60,"56-60",Table1[[#This Row],[Age]]&lt;=66,"61-66")</f>
        <v>36-40</v>
      </c>
      <c r="O107" t="s">
        <v>1076</v>
      </c>
      <c r="P107" t="str" cm="1">
        <f t="array" ref="P107">_xlfn.IFS(Table1[[#This Row],[Company Tenure]]&lt;=5,"1-5",Table1[[#This Row],[Company Tenure]]&lt;=10,"6-10",Table1[[#This Row],[Company Tenure]]&lt;=15,"11-15",Table1[[#This Row],[Company Tenure]]&lt;=20, "15-20",Table1[[#This Row],[Company Tenure]]&gt;20,"Above 20")</f>
        <v>11-15</v>
      </c>
    </row>
    <row r="108" spans="1:16" x14ac:dyDescent="0.25">
      <c r="A108" t="s">
        <v>294</v>
      </c>
      <c r="B108" t="s">
        <v>47</v>
      </c>
      <c r="C108" t="s">
        <v>68</v>
      </c>
      <c r="D108" t="s">
        <v>1</v>
      </c>
      <c r="E108">
        <v>46</v>
      </c>
      <c r="F108" t="s">
        <v>295</v>
      </c>
      <c r="G108" t="s">
        <v>37</v>
      </c>
      <c r="H108" s="2">
        <v>81920</v>
      </c>
      <c r="I108" s="1" t="s">
        <v>1059</v>
      </c>
      <c r="J108" s="3" t="s">
        <v>1059</v>
      </c>
      <c r="K108" t="s">
        <v>296</v>
      </c>
      <c r="L108" t="s">
        <v>65</v>
      </c>
      <c r="M108">
        <v>3</v>
      </c>
      <c r="N108" t="str" cm="1">
        <f t="array" ref="N108">_xlfn.IFS(AND(24&lt;=Table1[[#This Row],[Age]],Table1[[#This Row],[Age]]&lt;=30),"24-30",Table1[[#This Row],[Age]]&lt;=35,"31-35",Table1[[#This Row],[Age]]&lt;=40,"36-40",Table1[[#This Row],[Age]]&lt;=45,"41-45",Table1[[#This Row],[Age]]&lt;=50,"46-50",Table1[[#This Row],[Age]]&lt;=55,"51-55",Table1[[#This Row],[Age]]&lt;=60,"56-60",Table1[[#This Row],[Age]]&lt;=66,"61-66")</f>
        <v>46-50</v>
      </c>
      <c r="O108" t="s">
        <v>1077</v>
      </c>
      <c r="P108" t="str" cm="1">
        <f t="array" ref="P108">_xlfn.IFS(Table1[[#This Row],[Company Tenure]]&lt;=5,"1-5",Table1[[#This Row],[Company Tenure]]&lt;=10,"6-10",Table1[[#This Row],[Company Tenure]]&lt;=15,"11-15",Table1[[#This Row],[Company Tenure]]&lt;=20, "15-20",Table1[[#This Row],[Company Tenure]]&gt;20,"Above 20")</f>
        <v>Above 20</v>
      </c>
    </row>
    <row r="109" spans="1:16" x14ac:dyDescent="0.25">
      <c r="A109" t="s">
        <v>297</v>
      </c>
      <c r="B109" t="s">
        <v>62</v>
      </c>
      <c r="C109" t="s">
        <v>83</v>
      </c>
      <c r="D109" t="s">
        <v>8</v>
      </c>
      <c r="E109">
        <v>43</v>
      </c>
      <c r="F109" t="s">
        <v>154</v>
      </c>
      <c r="G109" t="s">
        <v>17</v>
      </c>
      <c r="H109" s="2">
        <v>40792</v>
      </c>
      <c r="I109" s="1">
        <v>41616</v>
      </c>
      <c r="J109" s="3">
        <v>12</v>
      </c>
      <c r="K109" t="s">
        <v>298</v>
      </c>
      <c r="L109" t="s">
        <v>39</v>
      </c>
      <c r="M109">
        <v>5</v>
      </c>
      <c r="N109" t="str" cm="1">
        <f t="array" ref="N109">_xlfn.IFS(AND(24&lt;=Table1[[#This Row],[Age]],Table1[[#This Row],[Age]]&lt;=30),"24-30",Table1[[#This Row],[Age]]&lt;=35,"31-35",Table1[[#This Row],[Age]]&lt;=40,"36-40",Table1[[#This Row],[Age]]&lt;=45,"41-45",Table1[[#This Row],[Age]]&lt;=50,"46-50",Table1[[#This Row],[Age]]&lt;=55,"51-55",Table1[[#This Row],[Age]]&lt;=60,"56-60",Table1[[#This Row],[Age]]&lt;=66,"61-66")</f>
        <v>41-45</v>
      </c>
      <c r="O109" t="s">
        <v>1076</v>
      </c>
      <c r="P109" t="str" cm="1">
        <f t="array" ref="P109">_xlfn.IFS(Table1[[#This Row],[Company Tenure]]&lt;=5,"1-5",Table1[[#This Row],[Company Tenure]]&lt;=10,"6-10",Table1[[#This Row],[Company Tenure]]&lt;=15,"11-15",Table1[[#This Row],[Company Tenure]]&lt;=20, "15-20",Table1[[#This Row],[Company Tenure]]&gt;20,"Above 20")</f>
        <v>11-15</v>
      </c>
    </row>
    <row r="110" spans="1:16" x14ac:dyDescent="0.25">
      <c r="A110" t="s">
        <v>299</v>
      </c>
      <c r="B110" t="s">
        <v>290</v>
      </c>
      <c r="C110" t="s">
        <v>68</v>
      </c>
      <c r="D110" t="s">
        <v>8</v>
      </c>
      <c r="E110">
        <v>46</v>
      </c>
      <c r="F110" t="s">
        <v>36</v>
      </c>
      <c r="G110" t="s">
        <v>44</v>
      </c>
      <c r="H110" s="2">
        <v>82760</v>
      </c>
      <c r="I110" s="1" t="s">
        <v>1059</v>
      </c>
      <c r="J110" s="3" t="s">
        <v>1059</v>
      </c>
      <c r="K110" t="s">
        <v>300</v>
      </c>
      <c r="L110" t="s">
        <v>28</v>
      </c>
      <c r="M110">
        <v>4</v>
      </c>
      <c r="N110" t="str" cm="1">
        <f t="array" ref="N110">_xlfn.IFS(AND(24&lt;=Table1[[#This Row],[Age]],Table1[[#This Row],[Age]]&lt;=30),"24-30",Table1[[#This Row],[Age]]&lt;=35,"31-35",Table1[[#This Row],[Age]]&lt;=40,"36-40",Table1[[#This Row],[Age]]&lt;=45,"41-45",Table1[[#This Row],[Age]]&lt;=50,"46-50",Table1[[#This Row],[Age]]&lt;=55,"51-55",Table1[[#This Row],[Age]]&lt;=60,"56-60",Table1[[#This Row],[Age]]&lt;=66,"61-66")</f>
        <v>46-50</v>
      </c>
      <c r="O110" t="s">
        <v>1077</v>
      </c>
      <c r="P110" t="str" cm="1">
        <f t="array" ref="P110">_xlfn.IFS(Table1[[#This Row],[Company Tenure]]&lt;=5,"1-5",Table1[[#This Row],[Company Tenure]]&lt;=10,"6-10",Table1[[#This Row],[Company Tenure]]&lt;=15,"11-15",Table1[[#This Row],[Company Tenure]]&lt;=20, "15-20",Table1[[#This Row],[Company Tenure]]&gt;20,"Above 20")</f>
        <v>Above 20</v>
      </c>
    </row>
    <row r="111" spans="1:16" x14ac:dyDescent="0.25">
      <c r="A111" t="s">
        <v>301</v>
      </c>
      <c r="B111" t="s">
        <v>184</v>
      </c>
      <c r="C111" t="s">
        <v>83</v>
      </c>
      <c r="D111" t="s">
        <v>1</v>
      </c>
      <c r="E111">
        <v>27</v>
      </c>
      <c r="F111" t="s">
        <v>313</v>
      </c>
      <c r="G111" t="s">
        <v>37</v>
      </c>
      <c r="H111" s="2">
        <v>113334</v>
      </c>
      <c r="I111" s="1">
        <v>44200</v>
      </c>
      <c r="J111" s="3">
        <v>5</v>
      </c>
      <c r="K111" t="s">
        <v>302</v>
      </c>
      <c r="L111" t="s">
        <v>85</v>
      </c>
      <c r="M111">
        <v>4</v>
      </c>
      <c r="N111" t="str" cm="1">
        <f t="array" ref="N111">_xlfn.IFS(AND(24&lt;=Table1[[#This Row],[Age]],Table1[[#This Row],[Age]]&lt;=30),"24-30",Table1[[#This Row],[Age]]&lt;=35,"31-35",Table1[[#This Row],[Age]]&lt;=40,"36-40",Table1[[#This Row],[Age]]&lt;=45,"41-45",Table1[[#This Row],[Age]]&lt;=50,"46-50",Table1[[#This Row],[Age]]&lt;=55,"51-55",Table1[[#This Row],[Age]]&lt;=60,"56-60",Table1[[#This Row],[Age]]&lt;=66,"61-66")</f>
        <v>24-30</v>
      </c>
      <c r="O111" t="s">
        <v>1074</v>
      </c>
      <c r="P111" t="str" cm="1">
        <f t="array" ref="P111">_xlfn.IFS(Table1[[#This Row],[Company Tenure]]&lt;=5,"1-5",Table1[[#This Row],[Company Tenure]]&lt;=10,"6-10",Table1[[#This Row],[Company Tenure]]&lt;=15,"11-15",Table1[[#This Row],[Company Tenure]]&lt;=20, "15-20",Table1[[#This Row],[Company Tenure]]&gt;20,"Above 20")</f>
        <v>1-5</v>
      </c>
    </row>
    <row r="112" spans="1:16" x14ac:dyDescent="0.25">
      <c r="A112" t="s">
        <v>303</v>
      </c>
      <c r="B112" t="s">
        <v>316</v>
      </c>
      <c r="C112" t="s">
        <v>35</v>
      </c>
      <c r="D112" t="s">
        <v>1</v>
      </c>
      <c r="E112">
        <v>34</v>
      </c>
      <c r="F112" t="s">
        <v>36</v>
      </c>
      <c r="G112" t="s">
        <v>161</v>
      </c>
      <c r="H112" s="2">
        <v>212102</v>
      </c>
      <c r="I112" s="1">
        <v>45594</v>
      </c>
      <c r="J112" s="3">
        <v>1</v>
      </c>
      <c r="K112" t="s">
        <v>304</v>
      </c>
      <c r="L112" t="s">
        <v>107</v>
      </c>
      <c r="M112">
        <v>3</v>
      </c>
      <c r="N112" t="str" cm="1">
        <f t="array" ref="N112">_xlfn.IFS(AND(24&lt;=Table1[[#This Row],[Age]],Table1[[#This Row],[Age]]&lt;=30),"24-30",Table1[[#This Row],[Age]]&lt;=35,"31-35",Table1[[#This Row],[Age]]&lt;=40,"36-40",Table1[[#This Row],[Age]]&lt;=45,"41-45",Table1[[#This Row],[Age]]&lt;=50,"46-50",Table1[[#This Row],[Age]]&lt;=55,"51-55",Table1[[#This Row],[Age]]&lt;=60,"56-60",Table1[[#This Row],[Age]]&lt;=66,"61-66")</f>
        <v>31-35</v>
      </c>
      <c r="O112" t="s">
        <v>1079</v>
      </c>
      <c r="P112" t="str" cm="1">
        <f t="array" ref="P112">_xlfn.IFS(Table1[[#This Row],[Company Tenure]]&lt;=5,"1-5",Table1[[#This Row],[Company Tenure]]&lt;=10,"6-10",Table1[[#This Row],[Company Tenure]]&lt;=15,"11-15",Table1[[#This Row],[Company Tenure]]&lt;=20, "15-20",Table1[[#This Row],[Company Tenure]]&gt;20,"Above 20")</f>
        <v>1-5</v>
      </c>
    </row>
    <row r="113" spans="1:16" x14ac:dyDescent="0.25">
      <c r="A113" t="s">
        <v>305</v>
      </c>
      <c r="B113" t="s">
        <v>79</v>
      </c>
      <c r="C113" t="s">
        <v>91</v>
      </c>
      <c r="D113" t="s">
        <v>1</v>
      </c>
      <c r="E113">
        <v>34</v>
      </c>
      <c r="F113" t="s">
        <v>133</v>
      </c>
      <c r="G113" t="s">
        <v>44</v>
      </c>
      <c r="H113" s="2">
        <v>54410.03</v>
      </c>
      <c r="I113" s="1">
        <v>41671</v>
      </c>
      <c r="J113" s="3">
        <v>12</v>
      </c>
      <c r="K113" t="s">
        <v>306</v>
      </c>
      <c r="L113" t="s">
        <v>85</v>
      </c>
      <c r="M113">
        <v>4</v>
      </c>
      <c r="N113" t="str" cm="1">
        <f t="array" ref="N113">_xlfn.IFS(AND(24&lt;=Table1[[#This Row],[Age]],Table1[[#This Row],[Age]]&lt;=30),"24-30",Table1[[#This Row],[Age]]&lt;=35,"31-35",Table1[[#This Row],[Age]]&lt;=40,"36-40",Table1[[#This Row],[Age]]&lt;=45,"41-45",Table1[[#This Row],[Age]]&lt;=50,"46-50",Table1[[#This Row],[Age]]&lt;=55,"51-55",Table1[[#This Row],[Age]]&lt;=60,"56-60",Table1[[#This Row],[Age]]&lt;=66,"61-66")</f>
        <v>31-35</v>
      </c>
      <c r="O113" t="s">
        <v>1077</v>
      </c>
      <c r="P113" t="str" cm="1">
        <f t="array" ref="P113">_xlfn.IFS(Table1[[#This Row],[Company Tenure]]&lt;=5,"1-5",Table1[[#This Row],[Company Tenure]]&lt;=10,"6-10",Table1[[#This Row],[Company Tenure]]&lt;=15,"11-15",Table1[[#This Row],[Company Tenure]]&lt;=20, "15-20",Table1[[#This Row],[Company Tenure]]&gt;20,"Above 20")</f>
        <v>11-15</v>
      </c>
    </row>
    <row r="114" spans="1:16" x14ac:dyDescent="0.25">
      <c r="A114" t="s">
        <v>307</v>
      </c>
      <c r="B114" t="s">
        <v>334</v>
      </c>
      <c r="C114" t="s">
        <v>308</v>
      </c>
      <c r="D114" t="s">
        <v>8</v>
      </c>
      <c r="E114">
        <v>32</v>
      </c>
      <c r="F114" t="s">
        <v>36</v>
      </c>
      <c r="G114" t="s">
        <v>37</v>
      </c>
      <c r="H114" s="2">
        <v>98373</v>
      </c>
      <c r="I114" s="1">
        <v>45373</v>
      </c>
      <c r="J114" s="3">
        <v>2</v>
      </c>
      <c r="K114" t="s">
        <v>309</v>
      </c>
      <c r="L114" t="s">
        <v>39</v>
      </c>
      <c r="M114">
        <v>4</v>
      </c>
      <c r="N114" t="str" cm="1">
        <f t="array" ref="N114">_xlfn.IFS(AND(24&lt;=Table1[[#This Row],[Age]],Table1[[#This Row],[Age]]&lt;=30),"24-30",Table1[[#This Row],[Age]]&lt;=35,"31-35",Table1[[#This Row],[Age]]&lt;=40,"36-40",Table1[[#This Row],[Age]]&lt;=45,"41-45",Table1[[#This Row],[Age]]&lt;=50,"46-50",Table1[[#This Row],[Age]]&lt;=55,"51-55",Table1[[#This Row],[Age]]&lt;=60,"56-60",Table1[[#This Row],[Age]]&lt;=66,"61-66")</f>
        <v>31-35</v>
      </c>
      <c r="O114" t="s">
        <v>1077</v>
      </c>
      <c r="P114" t="str" cm="1">
        <f t="array" ref="P114">_xlfn.IFS(Table1[[#This Row],[Company Tenure]]&lt;=5,"1-5",Table1[[#This Row],[Company Tenure]]&lt;=10,"6-10",Table1[[#This Row],[Company Tenure]]&lt;=15,"11-15",Table1[[#This Row],[Company Tenure]]&lt;=20, "15-20",Table1[[#This Row],[Company Tenure]]&gt;20,"Above 20")</f>
        <v>1-5</v>
      </c>
    </row>
    <row r="115" spans="1:16" x14ac:dyDescent="0.25">
      <c r="A115" t="s">
        <v>310</v>
      </c>
      <c r="B115" t="s">
        <v>103</v>
      </c>
      <c r="C115" t="s">
        <v>485</v>
      </c>
      <c r="D115" t="s">
        <v>1</v>
      </c>
      <c r="E115">
        <v>47</v>
      </c>
      <c r="F115" t="s">
        <v>133</v>
      </c>
      <c r="G115" t="s">
        <v>216</v>
      </c>
      <c r="H115" s="2">
        <v>158804</v>
      </c>
      <c r="I115" s="1">
        <v>39459</v>
      </c>
      <c r="J115" s="3">
        <v>18</v>
      </c>
      <c r="K115" t="s">
        <v>311</v>
      </c>
      <c r="L115" t="s">
        <v>25</v>
      </c>
      <c r="M115">
        <v>1</v>
      </c>
      <c r="N115" t="str" cm="1">
        <f t="array" ref="N115">_xlfn.IFS(AND(24&lt;=Table1[[#This Row],[Age]],Table1[[#This Row],[Age]]&lt;=30),"24-30",Table1[[#This Row],[Age]]&lt;=35,"31-35",Table1[[#This Row],[Age]]&lt;=40,"36-40",Table1[[#This Row],[Age]]&lt;=45,"41-45",Table1[[#This Row],[Age]]&lt;=50,"46-50",Table1[[#This Row],[Age]]&lt;=55,"51-55",Table1[[#This Row],[Age]]&lt;=60,"56-60",Table1[[#This Row],[Age]]&lt;=66,"61-66")</f>
        <v>46-50</v>
      </c>
      <c r="O115" t="s">
        <v>1078</v>
      </c>
      <c r="P115" t="str" cm="1">
        <f t="array" ref="P115">_xlfn.IFS(Table1[[#This Row],[Company Tenure]]&lt;=5,"1-5",Table1[[#This Row],[Company Tenure]]&lt;=10,"6-10",Table1[[#This Row],[Company Tenure]]&lt;=15,"11-15",Table1[[#This Row],[Company Tenure]]&lt;=20, "15-20",Table1[[#This Row],[Company Tenure]]&gt;20,"Above 20")</f>
        <v>15-20</v>
      </c>
    </row>
    <row r="116" spans="1:16" x14ac:dyDescent="0.25">
      <c r="A116" t="s">
        <v>312</v>
      </c>
      <c r="B116" t="s">
        <v>56</v>
      </c>
      <c r="C116" t="s">
        <v>31</v>
      </c>
      <c r="D116" t="s">
        <v>23</v>
      </c>
      <c r="E116">
        <v>54</v>
      </c>
      <c r="F116" t="s">
        <v>313</v>
      </c>
      <c r="G116" t="s">
        <v>17</v>
      </c>
      <c r="H116" s="2">
        <v>83971</v>
      </c>
      <c r="I116" s="1">
        <v>39937</v>
      </c>
      <c r="J116" s="3">
        <v>17</v>
      </c>
      <c r="K116" t="s">
        <v>314</v>
      </c>
      <c r="L116" t="s">
        <v>14</v>
      </c>
      <c r="M116">
        <v>2</v>
      </c>
      <c r="N116" t="str" cm="1">
        <f t="array" ref="N116">_xlfn.IFS(AND(24&lt;=Table1[[#This Row],[Age]],Table1[[#This Row],[Age]]&lt;=30),"24-30",Table1[[#This Row],[Age]]&lt;=35,"31-35",Table1[[#This Row],[Age]]&lt;=40,"36-40",Table1[[#This Row],[Age]]&lt;=45,"41-45",Table1[[#This Row],[Age]]&lt;=50,"46-50",Table1[[#This Row],[Age]]&lt;=55,"51-55",Table1[[#This Row],[Age]]&lt;=60,"56-60",Table1[[#This Row],[Age]]&lt;=66,"61-66")</f>
        <v>51-55</v>
      </c>
      <c r="O116" t="s">
        <v>1077</v>
      </c>
      <c r="P116" t="str" cm="1">
        <f t="array" ref="P116">_xlfn.IFS(Table1[[#This Row],[Company Tenure]]&lt;=5,"1-5",Table1[[#This Row],[Company Tenure]]&lt;=10,"6-10",Table1[[#This Row],[Company Tenure]]&lt;=15,"11-15",Table1[[#This Row],[Company Tenure]]&lt;=20, "15-20",Table1[[#This Row],[Company Tenure]]&gt;20,"Above 20")</f>
        <v>15-20</v>
      </c>
    </row>
    <row r="117" spans="1:16" x14ac:dyDescent="0.25">
      <c r="A117" t="s">
        <v>315</v>
      </c>
      <c r="B117" t="s">
        <v>316</v>
      </c>
      <c r="C117" t="s">
        <v>76</v>
      </c>
      <c r="D117" t="s">
        <v>23</v>
      </c>
      <c r="E117">
        <v>47</v>
      </c>
      <c r="F117" t="s">
        <v>203</v>
      </c>
      <c r="G117" t="s">
        <v>63</v>
      </c>
      <c r="H117" s="2">
        <v>63904</v>
      </c>
      <c r="I117" s="1">
        <v>39408</v>
      </c>
      <c r="J117" s="3">
        <v>18</v>
      </c>
      <c r="K117" t="s">
        <v>317</v>
      </c>
      <c r="L117" t="s">
        <v>207</v>
      </c>
      <c r="M117">
        <v>4</v>
      </c>
      <c r="N117" t="str" cm="1">
        <f t="array" ref="N117">_xlfn.IFS(AND(24&lt;=Table1[[#This Row],[Age]],Table1[[#This Row],[Age]]&lt;=30),"24-30",Table1[[#This Row],[Age]]&lt;=35,"31-35",Table1[[#This Row],[Age]]&lt;=40,"36-40",Table1[[#This Row],[Age]]&lt;=45,"41-45",Table1[[#This Row],[Age]]&lt;=50,"46-50",Table1[[#This Row],[Age]]&lt;=55,"51-55",Table1[[#This Row],[Age]]&lt;=60,"56-60",Table1[[#This Row],[Age]]&lt;=66,"61-66")</f>
        <v>46-50</v>
      </c>
      <c r="O117" t="s">
        <v>1077</v>
      </c>
      <c r="P117" t="str" cm="1">
        <f t="array" ref="P117">_xlfn.IFS(Table1[[#This Row],[Company Tenure]]&lt;=5,"1-5",Table1[[#This Row],[Company Tenure]]&lt;=10,"6-10",Table1[[#This Row],[Company Tenure]]&lt;=15,"11-15",Table1[[#This Row],[Company Tenure]]&lt;=20, "15-20",Table1[[#This Row],[Company Tenure]]&gt;20,"Above 20")</f>
        <v>15-20</v>
      </c>
    </row>
    <row r="118" spans="1:16" x14ac:dyDescent="0.25">
      <c r="A118" t="s">
        <v>318</v>
      </c>
      <c r="B118" t="s">
        <v>378</v>
      </c>
      <c r="C118" t="s">
        <v>269</v>
      </c>
      <c r="D118" t="s">
        <v>23</v>
      </c>
      <c r="E118">
        <v>59</v>
      </c>
      <c r="F118" t="s">
        <v>32</v>
      </c>
      <c r="G118" t="s">
        <v>17</v>
      </c>
      <c r="H118" s="2">
        <v>77505.48</v>
      </c>
      <c r="I118" s="1">
        <v>42182</v>
      </c>
      <c r="J118" s="3">
        <v>11</v>
      </c>
      <c r="K118" t="s">
        <v>319</v>
      </c>
      <c r="L118" t="s">
        <v>207</v>
      </c>
      <c r="M118">
        <v>4</v>
      </c>
      <c r="N118" t="str" cm="1">
        <f t="array" ref="N118">_xlfn.IFS(AND(24&lt;=Table1[[#This Row],[Age]],Table1[[#This Row],[Age]]&lt;=30),"24-30",Table1[[#This Row],[Age]]&lt;=35,"31-35",Table1[[#This Row],[Age]]&lt;=40,"36-40",Table1[[#This Row],[Age]]&lt;=45,"41-45",Table1[[#This Row],[Age]]&lt;=50,"46-50",Table1[[#This Row],[Age]]&lt;=55,"51-55",Table1[[#This Row],[Age]]&lt;=60,"56-60",Table1[[#This Row],[Age]]&lt;=66,"61-66")</f>
        <v>56-60</v>
      </c>
      <c r="O118" t="s">
        <v>1077</v>
      </c>
      <c r="P118" t="str" cm="1">
        <f t="array" ref="P118">_xlfn.IFS(Table1[[#This Row],[Company Tenure]]&lt;=5,"1-5",Table1[[#This Row],[Company Tenure]]&lt;=10,"6-10",Table1[[#This Row],[Company Tenure]]&lt;=15,"11-15",Table1[[#This Row],[Company Tenure]]&lt;=20, "15-20",Table1[[#This Row],[Company Tenure]]&gt;20,"Above 20")</f>
        <v>11-15</v>
      </c>
    </row>
    <row r="119" spans="1:16" x14ac:dyDescent="0.25">
      <c r="A119" t="s">
        <v>320</v>
      </c>
      <c r="B119" t="s">
        <v>321</v>
      </c>
      <c r="C119" t="s">
        <v>394</v>
      </c>
      <c r="D119" t="s">
        <v>1</v>
      </c>
      <c r="E119">
        <v>37</v>
      </c>
      <c r="F119" t="s">
        <v>142</v>
      </c>
      <c r="G119" t="s">
        <v>37</v>
      </c>
      <c r="H119" s="2">
        <v>62930</v>
      </c>
      <c r="I119" s="1">
        <v>41763</v>
      </c>
      <c r="J119" s="3">
        <v>12</v>
      </c>
      <c r="K119" t="s">
        <v>322</v>
      </c>
      <c r="L119" t="s">
        <v>54</v>
      </c>
      <c r="M119">
        <v>4</v>
      </c>
      <c r="N119" t="str" cm="1">
        <f t="array" ref="N119">_xlfn.IFS(AND(24&lt;=Table1[[#This Row],[Age]],Table1[[#This Row],[Age]]&lt;=30),"24-30",Table1[[#This Row],[Age]]&lt;=35,"31-35",Table1[[#This Row],[Age]]&lt;=40,"36-40",Table1[[#This Row],[Age]]&lt;=45,"41-45",Table1[[#This Row],[Age]]&lt;=50,"46-50",Table1[[#This Row],[Age]]&lt;=55,"51-55",Table1[[#This Row],[Age]]&lt;=60,"56-60",Table1[[#This Row],[Age]]&lt;=66,"61-66")</f>
        <v>36-40</v>
      </c>
      <c r="O119" t="s">
        <v>1077</v>
      </c>
      <c r="P119" t="str" cm="1">
        <f t="array" ref="P119">_xlfn.IFS(Table1[[#This Row],[Company Tenure]]&lt;=5,"1-5",Table1[[#This Row],[Company Tenure]]&lt;=10,"6-10",Table1[[#This Row],[Company Tenure]]&lt;=15,"11-15",Table1[[#This Row],[Company Tenure]]&lt;=20, "15-20",Table1[[#This Row],[Company Tenure]]&gt;20,"Above 20")</f>
        <v>11-15</v>
      </c>
    </row>
    <row r="120" spans="1:16" x14ac:dyDescent="0.25">
      <c r="A120" t="s">
        <v>323</v>
      </c>
      <c r="B120" t="s">
        <v>127</v>
      </c>
      <c r="C120" t="s">
        <v>76</v>
      </c>
      <c r="D120" t="s">
        <v>8</v>
      </c>
      <c r="E120">
        <v>40</v>
      </c>
      <c r="F120" t="s">
        <v>313</v>
      </c>
      <c r="G120" t="s">
        <v>17</v>
      </c>
      <c r="H120" s="2">
        <v>93532.94</v>
      </c>
      <c r="I120" s="1">
        <v>41880</v>
      </c>
      <c r="J120" s="3">
        <v>12</v>
      </c>
      <c r="K120" t="s">
        <v>324</v>
      </c>
      <c r="L120" t="s">
        <v>49</v>
      </c>
      <c r="M120">
        <v>5</v>
      </c>
      <c r="N120" t="str" cm="1">
        <f t="array" ref="N120">_xlfn.IFS(AND(24&lt;=Table1[[#This Row],[Age]],Table1[[#This Row],[Age]]&lt;=30),"24-30",Table1[[#This Row],[Age]]&lt;=35,"31-35",Table1[[#This Row],[Age]]&lt;=40,"36-40",Table1[[#This Row],[Age]]&lt;=45,"41-45",Table1[[#This Row],[Age]]&lt;=50,"46-50",Table1[[#This Row],[Age]]&lt;=55,"51-55",Table1[[#This Row],[Age]]&lt;=60,"56-60",Table1[[#This Row],[Age]]&lt;=66,"61-66")</f>
        <v>36-40</v>
      </c>
      <c r="O120" t="s">
        <v>1077</v>
      </c>
      <c r="P120" t="str" cm="1">
        <f t="array" ref="P120">_xlfn.IFS(Table1[[#This Row],[Company Tenure]]&lt;=5,"1-5",Table1[[#This Row],[Company Tenure]]&lt;=10,"6-10",Table1[[#This Row],[Company Tenure]]&lt;=15,"11-15",Table1[[#This Row],[Company Tenure]]&lt;=20, "15-20",Table1[[#This Row],[Company Tenure]]&gt;20,"Above 20")</f>
        <v>11-15</v>
      </c>
    </row>
    <row r="121" spans="1:16" x14ac:dyDescent="0.25">
      <c r="A121" t="s">
        <v>325</v>
      </c>
      <c r="B121" t="s">
        <v>87</v>
      </c>
      <c r="C121" t="s">
        <v>222</v>
      </c>
      <c r="D121" t="s">
        <v>1</v>
      </c>
      <c r="E121">
        <v>43</v>
      </c>
      <c r="F121" t="s">
        <v>313</v>
      </c>
      <c r="G121" t="s">
        <v>105</v>
      </c>
      <c r="H121" s="2">
        <v>165895</v>
      </c>
      <c r="I121" s="1">
        <v>39037</v>
      </c>
      <c r="J121" s="3">
        <v>19</v>
      </c>
      <c r="K121" t="s">
        <v>326</v>
      </c>
      <c r="L121" t="s">
        <v>207</v>
      </c>
      <c r="M121">
        <v>3</v>
      </c>
      <c r="N121" t="str" cm="1">
        <f t="array" ref="N121">_xlfn.IFS(AND(24&lt;=Table1[[#This Row],[Age]],Table1[[#This Row],[Age]]&lt;=30),"24-30",Table1[[#This Row],[Age]]&lt;=35,"31-35",Table1[[#This Row],[Age]]&lt;=40,"36-40",Table1[[#This Row],[Age]]&lt;=45,"41-45",Table1[[#This Row],[Age]]&lt;=50,"46-50",Table1[[#This Row],[Age]]&lt;=55,"51-55",Table1[[#This Row],[Age]]&lt;=60,"56-60",Table1[[#This Row],[Age]]&lt;=66,"61-66")</f>
        <v>41-45</v>
      </c>
      <c r="O121" t="s">
        <v>1078</v>
      </c>
      <c r="P121" t="str" cm="1">
        <f t="array" ref="P121">_xlfn.IFS(Table1[[#This Row],[Company Tenure]]&lt;=5,"1-5",Table1[[#This Row],[Company Tenure]]&lt;=10,"6-10",Table1[[#This Row],[Company Tenure]]&lt;=15,"11-15",Table1[[#This Row],[Company Tenure]]&lt;=20, "15-20",Table1[[#This Row],[Company Tenure]]&gt;20,"Above 20")</f>
        <v>15-20</v>
      </c>
    </row>
    <row r="122" spans="1:16" x14ac:dyDescent="0.25">
      <c r="A122" t="s">
        <v>327</v>
      </c>
      <c r="B122" t="s">
        <v>624</v>
      </c>
      <c r="C122" t="s">
        <v>308</v>
      </c>
      <c r="D122" t="s">
        <v>8</v>
      </c>
      <c r="E122">
        <v>42</v>
      </c>
      <c r="F122" t="s">
        <v>133</v>
      </c>
      <c r="G122" t="s">
        <v>105</v>
      </c>
      <c r="H122" s="2">
        <v>100736</v>
      </c>
      <c r="I122" s="1">
        <v>41267</v>
      </c>
      <c r="J122" s="3">
        <v>13</v>
      </c>
      <c r="K122" t="s">
        <v>328</v>
      </c>
      <c r="L122" t="s">
        <v>28</v>
      </c>
      <c r="M122">
        <v>4</v>
      </c>
      <c r="N122" t="str" cm="1">
        <f t="array" ref="N122">_xlfn.IFS(AND(24&lt;=Table1[[#This Row],[Age]],Table1[[#This Row],[Age]]&lt;=30),"24-30",Table1[[#This Row],[Age]]&lt;=35,"31-35",Table1[[#This Row],[Age]]&lt;=40,"36-40",Table1[[#This Row],[Age]]&lt;=45,"41-45",Table1[[#This Row],[Age]]&lt;=50,"46-50",Table1[[#This Row],[Age]]&lt;=55,"51-55",Table1[[#This Row],[Age]]&lt;=60,"56-60",Table1[[#This Row],[Age]]&lt;=66,"61-66")</f>
        <v>41-45</v>
      </c>
      <c r="O122" t="s">
        <v>1074</v>
      </c>
      <c r="P122" t="str" cm="1">
        <f t="array" ref="P122">_xlfn.IFS(Table1[[#This Row],[Company Tenure]]&lt;=5,"1-5",Table1[[#This Row],[Company Tenure]]&lt;=10,"6-10",Table1[[#This Row],[Company Tenure]]&lt;=15,"11-15",Table1[[#This Row],[Company Tenure]]&lt;=20, "15-20",Table1[[#This Row],[Company Tenure]]&gt;20,"Above 20")</f>
        <v>11-15</v>
      </c>
    </row>
    <row r="123" spans="1:16" x14ac:dyDescent="0.25">
      <c r="A123" t="s">
        <v>329</v>
      </c>
      <c r="B123" t="s">
        <v>103</v>
      </c>
      <c r="C123" t="s">
        <v>263</v>
      </c>
      <c r="D123" t="s">
        <v>8</v>
      </c>
      <c r="E123">
        <v>51</v>
      </c>
      <c r="F123" t="s">
        <v>203</v>
      </c>
      <c r="G123" t="s">
        <v>100</v>
      </c>
      <c r="H123" s="2">
        <v>44257</v>
      </c>
      <c r="I123" s="1">
        <v>39133</v>
      </c>
      <c r="J123" s="3">
        <v>19</v>
      </c>
      <c r="K123" t="s">
        <v>330</v>
      </c>
      <c r="L123" t="s">
        <v>107</v>
      </c>
      <c r="M123">
        <v>2</v>
      </c>
      <c r="N123" t="str" cm="1">
        <f t="array" ref="N123">_xlfn.IFS(AND(24&lt;=Table1[[#This Row],[Age]],Table1[[#This Row],[Age]]&lt;=30),"24-30",Table1[[#This Row],[Age]]&lt;=35,"31-35",Table1[[#This Row],[Age]]&lt;=40,"36-40",Table1[[#This Row],[Age]]&lt;=45,"41-45",Table1[[#This Row],[Age]]&lt;=50,"46-50",Table1[[#This Row],[Age]]&lt;=55,"51-55",Table1[[#This Row],[Age]]&lt;=60,"56-60",Table1[[#This Row],[Age]]&lt;=66,"61-66")</f>
        <v>51-55</v>
      </c>
      <c r="O123" t="s">
        <v>1076</v>
      </c>
      <c r="P123" t="str" cm="1">
        <f t="array" ref="P123">_xlfn.IFS(Table1[[#This Row],[Company Tenure]]&lt;=5,"1-5",Table1[[#This Row],[Company Tenure]]&lt;=10,"6-10",Table1[[#This Row],[Company Tenure]]&lt;=15,"11-15",Table1[[#This Row],[Company Tenure]]&lt;=20, "15-20",Table1[[#This Row],[Company Tenure]]&gt;20,"Above 20")</f>
        <v>15-20</v>
      </c>
    </row>
    <row r="124" spans="1:16" x14ac:dyDescent="0.25">
      <c r="A124" t="s">
        <v>331</v>
      </c>
      <c r="B124" t="s">
        <v>47</v>
      </c>
      <c r="C124" t="s">
        <v>138</v>
      </c>
      <c r="D124" t="s">
        <v>1</v>
      </c>
      <c r="E124">
        <v>40</v>
      </c>
      <c r="F124" t="s">
        <v>32</v>
      </c>
      <c r="G124" t="s">
        <v>17</v>
      </c>
      <c r="H124" s="2">
        <v>73422</v>
      </c>
      <c r="I124" s="1">
        <v>43301</v>
      </c>
      <c r="J124" s="3">
        <v>8</v>
      </c>
      <c r="K124" t="s">
        <v>332</v>
      </c>
      <c r="L124" t="s">
        <v>14</v>
      </c>
      <c r="M124">
        <v>5</v>
      </c>
      <c r="N124" t="str" cm="1">
        <f t="array" ref="N124">_xlfn.IFS(AND(24&lt;=Table1[[#This Row],[Age]],Table1[[#This Row],[Age]]&lt;=30),"24-30",Table1[[#This Row],[Age]]&lt;=35,"31-35",Table1[[#This Row],[Age]]&lt;=40,"36-40",Table1[[#This Row],[Age]]&lt;=45,"41-45",Table1[[#This Row],[Age]]&lt;=50,"46-50",Table1[[#This Row],[Age]]&lt;=55,"51-55",Table1[[#This Row],[Age]]&lt;=60,"56-60",Table1[[#This Row],[Age]]&lt;=66,"61-66")</f>
        <v>36-40</v>
      </c>
      <c r="O124" t="s">
        <v>1077</v>
      </c>
      <c r="P124" t="str" cm="1">
        <f t="array" ref="P124">_xlfn.IFS(Table1[[#This Row],[Company Tenure]]&lt;=5,"1-5",Table1[[#This Row],[Company Tenure]]&lt;=10,"6-10",Table1[[#This Row],[Company Tenure]]&lt;=15,"11-15",Table1[[#This Row],[Company Tenure]]&lt;=20, "15-20",Table1[[#This Row],[Company Tenure]]&gt;20,"Above 20")</f>
        <v>6-10</v>
      </c>
    </row>
    <row r="125" spans="1:16" x14ac:dyDescent="0.25">
      <c r="A125" t="s">
        <v>333</v>
      </c>
      <c r="B125" t="s">
        <v>334</v>
      </c>
      <c r="C125" t="s">
        <v>91</v>
      </c>
      <c r="D125" t="s">
        <v>1</v>
      </c>
      <c r="E125">
        <v>50</v>
      </c>
      <c r="F125" t="s">
        <v>142</v>
      </c>
      <c r="G125" t="s">
        <v>44</v>
      </c>
      <c r="H125" s="2">
        <v>52217.1</v>
      </c>
      <c r="I125" s="1">
        <v>44577</v>
      </c>
      <c r="J125" s="3">
        <v>4</v>
      </c>
      <c r="K125" t="s">
        <v>335</v>
      </c>
      <c r="L125" t="s">
        <v>49</v>
      </c>
      <c r="M125">
        <v>3</v>
      </c>
      <c r="N125" t="str" cm="1">
        <f t="array" ref="N125">_xlfn.IFS(AND(24&lt;=Table1[[#This Row],[Age]],Table1[[#This Row],[Age]]&lt;=30),"24-30",Table1[[#This Row],[Age]]&lt;=35,"31-35",Table1[[#This Row],[Age]]&lt;=40,"36-40",Table1[[#This Row],[Age]]&lt;=45,"41-45",Table1[[#This Row],[Age]]&lt;=50,"46-50",Table1[[#This Row],[Age]]&lt;=55,"51-55",Table1[[#This Row],[Age]]&lt;=60,"56-60",Table1[[#This Row],[Age]]&lt;=66,"61-66")</f>
        <v>46-50</v>
      </c>
      <c r="O125" t="s">
        <v>1077</v>
      </c>
      <c r="P125" t="str" cm="1">
        <f t="array" ref="P125">_xlfn.IFS(Table1[[#This Row],[Company Tenure]]&lt;=5,"1-5",Table1[[#This Row],[Company Tenure]]&lt;=10,"6-10",Table1[[#This Row],[Company Tenure]]&lt;=15,"11-15",Table1[[#This Row],[Company Tenure]]&lt;=20, "15-20",Table1[[#This Row],[Company Tenure]]&gt;20,"Above 20")</f>
        <v>1-5</v>
      </c>
    </row>
    <row r="126" spans="1:16" x14ac:dyDescent="0.25">
      <c r="A126" t="s">
        <v>336</v>
      </c>
      <c r="B126" t="s">
        <v>94</v>
      </c>
      <c r="C126" t="s">
        <v>68</v>
      </c>
      <c r="D126" t="s">
        <v>8</v>
      </c>
      <c r="E126">
        <v>55</v>
      </c>
      <c r="F126" t="s">
        <v>313</v>
      </c>
      <c r="G126" t="s">
        <v>161</v>
      </c>
      <c r="H126" s="2">
        <v>182419.74</v>
      </c>
      <c r="I126" s="1">
        <v>38813</v>
      </c>
      <c r="J126" s="3">
        <v>20</v>
      </c>
      <c r="K126" t="s">
        <v>337</v>
      </c>
      <c r="L126" t="s">
        <v>14</v>
      </c>
      <c r="M126">
        <v>3</v>
      </c>
      <c r="N126" t="str" cm="1">
        <f t="array" ref="N126">_xlfn.IFS(AND(24&lt;=Table1[[#This Row],[Age]],Table1[[#This Row],[Age]]&lt;=30),"24-30",Table1[[#This Row],[Age]]&lt;=35,"31-35",Table1[[#This Row],[Age]]&lt;=40,"36-40",Table1[[#This Row],[Age]]&lt;=45,"41-45",Table1[[#This Row],[Age]]&lt;=50,"46-50",Table1[[#This Row],[Age]]&lt;=55,"51-55",Table1[[#This Row],[Age]]&lt;=60,"56-60",Table1[[#This Row],[Age]]&lt;=66,"61-66")</f>
        <v>51-55</v>
      </c>
      <c r="O126" t="s">
        <v>1078</v>
      </c>
      <c r="P126" t="str" cm="1">
        <f t="array" ref="P126">_xlfn.IFS(Table1[[#This Row],[Company Tenure]]&lt;=5,"1-5",Table1[[#This Row],[Company Tenure]]&lt;=10,"6-10",Table1[[#This Row],[Company Tenure]]&lt;=15,"11-15",Table1[[#This Row],[Company Tenure]]&lt;=20, "15-20",Table1[[#This Row],[Company Tenure]]&gt;20,"Above 20")</f>
        <v>15-20</v>
      </c>
    </row>
    <row r="127" spans="1:16" x14ac:dyDescent="0.25">
      <c r="A127" t="s">
        <v>338</v>
      </c>
      <c r="B127" t="s">
        <v>79</v>
      </c>
      <c r="C127" t="s">
        <v>68</v>
      </c>
      <c r="D127" t="s">
        <v>1</v>
      </c>
      <c r="E127">
        <v>39</v>
      </c>
      <c r="F127" t="s">
        <v>1066</v>
      </c>
      <c r="G127" t="s">
        <v>44</v>
      </c>
      <c r="H127" s="2">
        <v>66020</v>
      </c>
      <c r="I127" s="1">
        <v>41198</v>
      </c>
      <c r="J127" s="3">
        <v>13</v>
      </c>
      <c r="K127" t="s">
        <v>339</v>
      </c>
      <c r="L127" t="s">
        <v>65</v>
      </c>
      <c r="M127">
        <v>4</v>
      </c>
      <c r="N127" t="str" cm="1">
        <f t="array" ref="N127">_xlfn.IFS(AND(24&lt;=Table1[[#This Row],[Age]],Table1[[#This Row],[Age]]&lt;=30),"24-30",Table1[[#This Row],[Age]]&lt;=35,"31-35",Table1[[#This Row],[Age]]&lt;=40,"36-40",Table1[[#This Row],[Age]]&lt;=45,"41-45",Table1[[#This Row],[Age]]&lt;=50,"46-50",Table1[[#This Row],[Age]]&lt;=55,"51-55",Table1[[#This Row],[Age]]&lt;=60,"56-60",Table1[[#This Row],[Age]]&lt;=66,"61-66")</f>
        <v>36-40</v>
      </c>
      <c r="O127" t="s">
        <v>1077</v>
      </c>
      <c r="P127" t="str" cm="1">
        <f t="array" ref="P127">_xlfn.IFS(Table1[[#This Row],[Company Tenure]]&lt;=5,"1-5",Table1[[#This Row],[Company Tenure]]&lt;=10,"6-10",Table1[[#This Row],[Company Tenure]]&lt;=15,"11-15",Table1[[#This Row],[Company Tenure]]&lt;=20, "15-20",Table1[[#This Row],[Company Tenure]]&gt;20,"Above 20")</f>
        <v>11-15</v>
      </c>
    </row>
    <row r="128" spans="1:16" x14ac:dyDescent="0.25">
      <c r="A128" t="s">
        <v>340</v>
      </c>
      <c r="B128" t="s">
        <v>115</v>
      </c>
      <c r="C128" t="s">
        <v>91</v>
      </c>
      <c r="D128" t="s">
        <v>23</v>
      </c>
      <c r="E128">
        <v>40</v>
      </c>
      <c r="F128" t="s">
        <v>295</v>
      </c>
      <c r="G128" t="s">
        <v>17</v>
      </c>
      <c r="H128" s="2">
        <v>62579</v>
      </c>
      <c r="I128" s="1">
        <v>45619</v>
      </c>
      <c r="J128" s="3">
        <v>1</v>
      </c>
      <c r="K128" t="s">
        <v>341</v>
      </c>
      <c r="L128" t="s">
        <v>54</v>
      </c>
      <c r="M128">
        <v>5</v>
      </c>
      <c r="N128" t="str" cm="1">
        <f t="array" ref="N128">_xlfn.IFS(AND(24&lt;=Table1[[#This Row],[Age]],Table1[[#This Row],[Age]]&lt;=30),"24-30",Table1[[#This Row],[Age]]&lt;=35,"31-35",Table1[[#This Row],[Age]]&lt;=40,"36-40",Table1[[#This Row],[Age]]&lt;=45,"41-45",Table1[[#This Row],[Age]]&lt;=50,"46-50",Table1[[#This Row],[Age]]&lt;=55,"51-55",Table1[[#This Row],[Age]]&lt;=60,"56-60",Table1[[#This Row],[Age]]&lt;=66,"61-66")</f>
        <v>36-40</v>
      </c>
      <c r="O128" t="s">
        <v>1077</v>
      </c>
      <c r="P128" t="str" cm="1">
        <f t="array" ref="P128">_xlfn.IFS(Table1[[#This Row],[Company Tenure]]&lt;=5,"1-5",Table1[[#This Row],[Company Tenure]]&lt;=10,"6-10",Table1[[#This Row],[Company Tenure]]&lt;=15,"11-15",Table1[[#This Row],[Company Tenure]]&lt;=20, "15-20",Table1[[#This Row],[Company Tenure]]&gt;20,"Above 20")</f>
        <v>1-5</v>
      </c>
    </row>
    <row r="129" spans="1:16" x14ac:dyDescent="0.25">
      <c r="A129" t="s">
        <v>342</v>
      </c>
      <c r="B129" t="s">
        <v>87</v>
      </c>
      <c r="C129" t="s">
        <v>76</v>
      </c>
      <c r="D129" t="s">
        <v>1</v>
      </c>
      <c r="E129">
        <v>30</v>
      </c>
      <c r="F129" t="s">
        <v>181</v>
      </c>
      <c r="G129" t="s">
        <v>17</v>
      </c>
      <c r="H129" s="2">
        <v>55331</v>
      </c>
      <c r="I129" s="1">
        <v>42661</v>
      </c>
      <c r="J129" s="3">
        <v>9</v>
      </c>
      <c r="K129" t="s">
        <v>343</v>
      </c>
      <c r="L129" t="s">
        <v>54</v>
      </c>
      <c r="M129">
        <v>4</v>
      </c>
      <c r="N129" t="str" cm="1">
        <f t="array" ref="N129">_xlfn.IFS(AND(24&lt;=Table1[[#This Row],[Age]],Table1[[#This Row],[Age]]&lt;=30),"24-30",Table1[[#This Row],[Age]]&lt;=35,"31-35",Table1[[#This Row],[Age]]&lt;=40,"36-40",Table1[[#This Row],[Age]]&lt;=45,"41-45",Table1[[#This Row],[Age]]&lt;=50,"46-50",Table1[[#This Row],[Age]]&lt;=55,"51-55",Table1[[#This Row],[Age]]&lt;=60,"56-60",Table1[[#This Row],[Age]]&lt;=66,"61-66")</f>
        <v>24-30</v>
      </c>
      <c r="O129" t="s">
        <v>1077</v>
      </c>
      <c r="P129" t="str" cm="1">
        <f t="array" ref="P129">_xlfn.IFS(Table1[[#This Row],[Company Tenure]]&lt;=5,"1-5",Table1[[#This Row],[Company Tenure]]&lt;=10,"6-10",Table1[[#This Row],[Company Tenure]]&lt;=15,"11-15",Table1[[#This Row],[Company Tenure]]&lt;=20, "15-20",Table1[[#This Row],[Company Tenure]]&gt;20,"Above 20")</f>
        <v>6-10</v>
      </c>
    </row>
    <row r="130" spans="1:16" x14ac:dyDescent="0.25">
      <c r="A130" t="s">
        <v>344</v>
      </c>
      <c r="B130" t="s">
        <v>451</v>
      </c>
      <c r="C130" t="s">
        <v>91</v>
      </c>
      <c r="D130" t="s">
        <v>23</v>
      </c>
      <c r="E130">
        <v>40</v>
      </c>
      <c r="F130" t="s">
        <v>9</v>
      </c>
      <c r="G130" t="s">
        <v>37</v>
      </c>
      <c r="H130" s="2">
        <v>97038.720000000001</v>
      </c>
      <c r="I130" s="1">
        <v>40540</v>
      </c>
      <c r="J130" s="3">
        <v>15</v>
      </c>
      <c r="K130" t="s">
        <v>345</v>
      </c>
      <c r="L130" t="s">
        <v>85</v>
      </c>
      <c r="M130">
        <v>4</v>
      </c>
      <c r="N130" t="str" cm="1">
        <f t="array" ref="N130">_xlfn.IFS(AND(24&lt;=Table1[[#This Row],[Age]],Table1[[#This Row],[Age]]&lt;=30),"24-30",Table1[[#This Row],[Age]]&lt;=35,"31-35",Table1[[#This Row],[Age]]&lt;=40,"36-40",Table1[[#This Row],[Age]]&lt;=45,"41-45",Table1[[#This Row],[Age]]&lt;=50,"46-50",Table1[[#This Row],[Age]]&lt;=55,"51-55",Table1[[#This Row],[Age]]&lt;=60,"56-60",Table1[[#This Row],[Age]]&lt;=66,"61-66")</f>
        <v>36-40</v>
      </c>
      <c r="O130" t="s">
        <v>1077</v>
      </c>
      <c r="P130" t="str" cm="1">
        <f t="array" ref="P130">_xlfn.IFS(Table1[[#This Row],[Company Tenure]]&lt;=5,"1-5",Table1[[#This Row],[Company Tenure]]&lt;=10,"6-10",Table1[[#This Row],[Company Tenure]]&lt;=15,"11-15",Table1[[#This Row],[Company Tenure]]&lt;=20, "15-20",Table1[[#This Row],[Company Tenure]]&gt;20,"Above 20")</f>
        <v>11-15</v>
      </c>
    </row>
    <row r="131" spans="1:16" x14ac:dyDescent="0.25">
      <c r="A131" t="s">
        <v>346</v>
      </c>
      <c r="B131" t="s">
        <v>6</v>
      </c>
      <c r="C131" t="s">
        <v>76</v>
      </c>
      <c r="D131" t="s">
        <v>23</v>
      </c>
      <c r="E131">
        <v>39</v>
      </c>
      <c r="F131" t="s">
        <v>32</v>
      </c>
      <c r="G131" t="s">
        <v>44</v>
      </c>
      <c r="H131" s="2">
        <v>70969</v>
      </c>
      <c r="I131" s="1">
        <v>40191</v>
      </c>
      <c r="J131" s="3">
        <v>16</v>
      </c>
      <c r="K131" t="s">
        <v>347</v>
      </c>
      <c r="L131" t="s">
        <v>85</v>
      </c>
      <c r="M131">
        <v>4</v>
      </c>
      <c r="N131" t="str" cm="1">
        <f t="array" ref="N131">_xlfn.IFS(AND(24&lt;=Table1[[#This Row],[Age]],Table1[[#This Row],[Age]]&lt;=30),"24-30",Table1[[#This Row],[Age]]&lt;=35,"31-35",Table1[[#This Row],[Age]]&lt;=40,"36-40",Table1[[#This Row],[Age]]&lt;=45,"41-45",Table1[[#This Row],[Age]]&lt;=50,"46-50",Table1[[#This Row],[Age]]&lt;=55,"51-55",Table1[[#This Row],[Age]]&lt;=60,"56-60",Table1[[#This Row],[Age]]&lt;=66,"61-66")</f>
        <v>36-40</v>
      </c>
      <c r="O131" t="s">
        <v>1077</v>
      </c>
      <c r="P131" t="str" cm="1">
        <f t="array" ref="P131">_xlfn.IFS(Table1[[#This Row],[Company Tenure]]&lt;=5,"1-5",Table1[[#This Row],[Company Tenure]]&lt;=10,"6-10",Table1[[#This Row],[Company Tenure]]&lt;=15,"11-15",Table1[[#This Row],[Company Tenure]]&lt;=20, "15-20",Table1[[#This Row],[Company Tenure]]&gt;20,"Above 20")</f>
        <v>15-20</v>
      </c>
    </row>
    <row r="132" spans="1:16" x14ac:dyDescent="0.25">
      <c r="A132" t="s">
        <v>348</v>
      </c>
      <c r="B132" t="s">
        <v>514</v>
      </c>
      <c r="C132" t="s">
        <v>91</v>
      </c>
      <c r="D132" t="s">
        <v>23</v>
      </c>
      <c r="E132">
        <v>42</v>
      </c>
      <c r="F132" t="s">
        <v>295</v>
      </c>
      <c r="G132" t="s">
        <v>17</v>
      </c>
      <c r="H132" s="2">
        <v>71536</v>
      </c>
      <c r="I132" s="1">
        <v>43679</v>
      </c>
      <c r="J132" s="3">
        <v>7</v>
      </c>
      <c r="K132" t="s">
        <v>349</v>
      </c>
      <c r="L132" t="s">
        <v>11</v>
      </c>
      <c r="M132">
        <v>1</v>
      </c>
      <c r="N132" t="str" cm="1">
        <f t="array" ref="N132">_xlfn.IFS(AND(24&lt;=Table1[[#This Row],[Age]],Table1[[#This Row],[Age]]&lt;=30),"24-30",Table1[[#This Row],[Age]]&lt;=35,"31-35",Table1[[#This Row],[Age]]&lt;=40,"36-40",Table1[[#This Row],[Age]]&lt;=45,"41-45",Table1[[#This Row],[Age]]&lt;=50,"46-50",Table1[[#This Row],[Age]]&lt;=55,"51-55",Table1[[#This Row],[Age]]&lt;=60,"56-60",Table1[[#This Row],[Age]]&lt;=66,"61-66")</f>
        <v>41-45</v>
      </c>
      <c r="O132" t="s">
        <v>1077</v>
      </c>
      <c r="P132" t="str" cm="1">
        <f t="array" ref="P132">_xlfn.IFS(Table1[[#This Row],[Company Tenure]]&lt;=5,"1-5",Table1[[#This Row],[Company Tenure]]&lt;=10,"6-10",Table1[[#This Row],[Company Tenure]]&lt;=15,"11-15",Table1[[#This Row],[Company Tenure]]&lt;=20, "15-20",Table1[[#This Row],[Company Tenure]]&gt;20,"Above 20")</f>
        <v>6-10</v>
      </c>
    </row>
    <row r="133" spans="1:16" x14ac:dyDescent="0.25">
      <c r="A133" t="s">
        <v>350</v>
      </c>
      <c r="B133" t="s">
        <v>43</v>
      </c>
      <c r="C133" t="s">
        <v>351</v>
      </c>
      <c r="D133" t="s">
        <v>1</v>
      </c>
      <c r="E133">
        <v>28</v>
      </c>
      <c r="F133" t="s">
        <v>133</v>
      </c>
      <c r="G133" t="s">
        <v>44</v>
      </c>
      <c r="H133" s="2">
        <v>51300</v>
      </c>
      <c r="I133" s="1">
        <v>43477</v>
      </c>
      <c r="J133" s="3">
        <v>7</v>
      </c>
      <c r="K133" t="s">
        <v>122</v>
      </c>
      <c r="L133" t="s">
        <v>207</v>
      </c>
      <c r="M133">
        <v>3</v>
      </c>
      <c r="N133" t="str" cm="1">
        <f t="array" ref="N133">_xlfn.IFS(AND(24&lt;=Table1[[#This Row],[Age]],Table1[[#This Row],[Age]]&lt;=30),"24-30",Table1[[#This Row],[Age]]&lt;=35,"31-35",Table1[[#This Row],[Age]]&lt;=40,"36-40",Table1[[#This Row],[Age]]&lt;=45,"41-45",Table1[[#This Row],[Age]]&lt;=50,"46-50",Table1[[#This Row],[Age]]&lt;=55,"51-55",Table1[[#This Row],[Age]]&lt;=60,"56-60",Table1[[#This Row],[Age]]&lt;=66,"61-66")</f>
        <v>24-30</v>
      </c>
      <c r="O133" t="s">
        <v>1077</v>
      </c>
      <c r="P133" t="str" cm="1">
        <f t="array" ref="P133">_xlfn.IFS(Table1[[#This Row],[Company Tenure]]&lt;=5,"1-5",Table1[[#This Row],[Company Tenure]]&lt;=10,"6-10",Table1[[#This Row],[Company Tenure]]&lt;=15,"11-15",Table1[[#This Row],[Company Tenure]]&lt;=20, "15-20",Table1[[#This Row],[Company Tenure]]&gt;20,"Above 20")</f>
        <v>6-10</v>
      </c>
    </row>
    <row r="134" spans="1:16" x14ac:dyDescent="0.25">
      <c r="A134" t="s">
        <v>352</v>
      </c>
      <c r="B134" t="s">
        <v>127</v>
      </c>
      <c r="C134" t="s">
        <v>166</v>
      </c>
      <c r="D134" t="s">
        <v>23</v>
      </c>
      <c r="E134">
        <v>42</v>
      </c>
      <c r="F134" t="s">
        <v>181</v>
      </c>
      <c r="G134" t="s">
        <v>17</v>
      </c>
      <c r="H134" s="2">
        <v>54445</v>
      </c>
      <c r="I134" s="1">
        <v>44511</v>
      </c>
      <c r="J134" s="3">
        <v>4</v>
      </c>
      <c r="K134" t="s">
        <v>353</v>
      </c>
      <c r="L134" t="s">
        <v>4</v>
      </c>
      <c r="M134">
        <v>3</v>
      </c>
      <c r="N134" t="str" cm="1">
        <f t="array" ref="N134">_xlfn.IFS(AND(24&lt;=Table1[[#This Row],[Age]],Table1[[#This Row],[Age]]&lt;=30),"24-30",Table1[[#This Row],[Age]]&lt;=35,"31-35",Table1[[#This Row],[Age]]&lt;=40,"36-40",Table1[[#This Row],[Age]]&lt;=45,"41-45",Table1[[#This Row],[Age]]&lt;=50,"46-50",Table1[[#This Row],[Age]]&lt;=55,"51-55",Table1[[#This Row],[Age]]&lt;=60,"56-60",Table1[[#This Row],[Age]]&lt;=66,"61-66")</f>
        <v>41-45</v>
      </c>
      <c r="O134" t="s">
        <v>1077</v>
      </c>
      <c r="P134" t="str" cm="1">
        <f t="array" ref="P134">_xlfn.IFS(Table1[[#This Row],[Company Tenure]]&lt;=5,"1-5",Table1[[#This Row],[Company Tenure]]&lt;=10,"6-10",Table1[[#This Row],[Company Tenure]]&lt;=15,"11-15",Table1[[#This Row],[Company Tenure]]&lt;=20, "15-20",Table1[[#This Row],[Company Tenure]]&gt;20,"Above 20")</f>
        <v>1-5</v>
      </c>
    </row>
    <row r="135" spans="1:16" x14ac:dyDescent="0.25">
      <c r="A135" t="s">
        <v>354</v>
      </c>
      <c r="B135" t="s">
        <v>355</v>
      </c>
      <c r="C135" t="s">
        <v>356</v>
      </c>
      <c r="D135" t="s">
        <v>8</v>
      </c>
      <c r="E135">
        <v>53</v>
      </c>
      <c r="F135" t="s">
        <v>142</v>
      </c>
      <c r="G135" t="s">
        <v>216</v>
      </c>
      <c r="H135" s="2">
        <v>169697</v>
      </c>
      <c r="I135" s="1">
        <v>41102</v>
      </c>
      <c r="J135" s="3">
        <v>14</v>
      </c>
      <c r="K135" t="s">
        <v>251</v>
      </c>
      <c r="L135" t="s">
        <v>11</v>
      </c>
      <c r="M135">
        <v>3</v>
      </c>
      <c r="N135" t="str" cm="1">
        <f t="array" ref="N135">_xlfn.IFS(AND(24&lt;=Table1[[#This Row],[Age]],Table1[[#This Row],[Age]]&lt;=30),"24-30",Table1[[#This Row],[Age]]&lt;=35,"31-35",Table1[[#This Row],[Age]]&lt;=40,"36-40",Table1[[#This Row],[Age]]&lt;=45,"41-45",Table1[[#This Row],[Age]]&lt;=50,"46-50",Table1[[#This Row],[Age]]&lt;=55,"51-55",Table1[[#This Row],[Age]]&lt;=60,"56-60",Table1[[#This Row],[Age]]&lt;=66,"61-66")</f>
        <v>51-55</v>
      </c>
      <c r="O135" t="s">
        <v>1078</v>
      </c>
      <c r="P135" t="str" cm="1">
        <f t="array" ref="P135">_xlfn.IFS(Table1[[#This Row],[Company Tenure]]&lt;=5,"1-5",Table1[[#This Row],[Company Tenure]]&lt;=10,"6-10",Table1[[#This Row],[Company Tenure]]&lt;=15,"11-15",Table1[[#This Row],[Company Tenure]]&lt;=20, "15-20",Table1[[#This Row],[Company Tenure]]&gt;20,"Above 20")</f>
        <v>11-15</v>
      </c>
    </row>
    <row r="136" spans="1:16" x14ac:dyDescent="0.25">
      <c r="A136" t="s">
        <v>357</v>
      </c>
      <c r="B136" t="s">
        <v>79</v>
      </c>
      <c r="C136" t="s">
        <v>180</v>
      </c>
      <c r="D136" t="s">
        <v>23</v>
      </c>
      <c r="E136">
        <v>62</v>
      </c>
      <c r="F136" t="s">
        <v>133</v>
      </c>
      <c r="G136" t="s">
        <v>105</v>
      </c>
      <c r="H136" s="2">
        <v>80195</v>
      </c>
      <c r="I136" s="1">
        <v>42652</v>
      </c>
      <c r="J136" s="3">
        <v>10</v>
      </c>
      <c r="K136" t="s">
        <v>358</v>
      </c>
      <c r="L136" t="s">
        <v>54</v>
      </c>
      <c r="M136">
        <v>4</v>
      </c>
      <c r="N136" t="str" cm="1">
        <f t="array" ref="N136">_xlfn.IFS(AND(24&lt;=Table1[[#This Row],[Age]],Table1[[#This Row],[Age]]&lt;=30),"24-30",Table1[[#This Row],[Age]]&lt;=35,"31-35",Table1[[#This Row],[Age]]&lt;=40,"36-40",Table1[[#This Row],[Age]]&lt;=45,"41-45",Table1[[#This Row],[Age]]&lt;=50,"46-50",Table1[[#This Row],[Age]]&lt;=55,"51-55",Table1[[#This Row],[Age]]&lt;=60,"56-60",Table1[[#This Row],[Age]]&lt;=66,"61-66")</f>
        <v>61-66</v>
      </c>
      <c r="O136" t="s">
        <v>1077</v>
      </c>
      <c r="P136" t="str" cm="1">
        <f t="array" ref="P136">_xlfn.IFS(Table1[[#This Row],[Company Tenure]]&lt;=5,"1-5",Table1[[#This Row],[Company Tenure]]&lt;=10,"6-10",Table1[[#This Row],[Company Tenure]]&lt;=15,"11-15",Table1[[#This Row],[Company Tenure]]&lt;=20, "15-20",Table1[[#This Row],[Company Tenure]]&gt;20,"Above 20")</f>
        <v>6-10</v>
      </c>
    </row>
    <row r="137" spans="1:16" x14ac:dyDescent="0.25">
      <c r="A137" t="s">
        <v>359</v>
      </c>
      <c r="B137" t="s">
        <v>30</v>
      </c>
      <c r="C137" t="s">
        <v>589</v>
      </c>
      <c r="D137" t="s">
        <v>1</v>
      </c>
      <c r="E137">
        <v>46</v>
      </c>
      <c r="F137" t="s">
        <v>36</v>
      </c>
      <c r="G137" t="s">
        <v>2</v>
      </c>
      <c r="H137" s="2">
        <v>124001</v>
      </c>
      <c r="I137" s="1">
        <v>40839</v>
      </c>
      <c r="J137" s="3">
        <v>14</v>
      </c>
      <c r="K137" t="s">
        <v>360</v>
      </c>
      <c r="L137" t="s">
        <v>11</v>
      </c>
      <c r="M137">
        <v>5</v>
      </c>
      <c r="N137" t="str" cm="1">
        <f t="array" ref="N137">_xlfn.IFS(AND(24&lt;=Table1[[#This Row],[Age]],Table1[[#This Row],[Age]]&lt;=30),"24-30",Table1[[#This Row],[Age]]&lt;=35,"31-35",Table1[[#This Row],[Age]]&lt;=40,"36-40",Table1[[#This Row],[Age]]&lt;=45,"41-45",Table1[[#This Row],[Age]]&lt;=50,"46-50",Table1[[#This Row],[Age]]&lt;=55,"51-55",Table1[[#This Row],[Age]]&lt;=60,"56-60",Table1[[#This Row],[Age]]&lt;=66,"61-66")</f>
        <v>46-50</v>
      </c>
      <c r="O137" t="s">
        <v>1074</v>
      </c>
      <c r="P137" t="str" cm="1">
        <f t="array" ref="P137">_xlfn.IFS(Table1[[#This Row],[Company Tenure]]&lt;=5,"1-5",Table1[[#This Row],[Company Tenure]]&lt;=10,"6-10",Table1[[#This Row],[Company Tenure]]&lt;=15,"11-15",Table1[[#This Row],[Company Tenure]]&lt;=20, "15-20",Table1[[#This Row],[Company Tenure]]&gt;20,"Above 20")</f>
        <v>11-15</v>
      </c>
    </row>
    <row r="138" spans="1:16" x14ac:dyDescent="0.25">
      <c r="A138" t="s">
        <v>361</v>
      </c>
      <c r="B138" t="s">
        <v>132</v>
      </c>
      <c r="C138" t="s">
        <v>76</v>
      </c>
      <c r="D138" t="s">
        <v>1</v>
      </c>
      <c r="E138">
        <v>43</v>
      </c>
      <c r="F138" t="s">
        <v>154</v>
      </c>
      <c r="G138" t="s">
        <v>17</v>
      </c>
      <c r="H138" s="2">
        <v>42155</v>
      </c>
      <c r="I138" s="1">
        <v>44222</v>
      </c>
      <c r="J138" s="3">
        <v>5</v>
      </c>
      <c r="K138" t="s">
        <v>362</v>
      </c>
      <c r="L138" t="s">
        <v>14</v>
      </c>
      <c r="M138">
        <v>3</v>
      </c>
      <c r="N138" t="str" cm="1">
        <f t="array" ref="N138">_xlfn.IFS(AND(24&lt;=Table1[[#This Row],[Age]],Table1[[#This Row],[Age]]&lt;=30),"24-30",Table1[[#This Row],[Age]]&lt;=35,"31-35",Table1[[#This Row],[Age]]&lt;=40,"36-40",Table1[[#This Row],[Age]]&lt;=45,"41-45",Table1[[#This Row],[Age]]&lt;=50,"46-50",Table1[[#This Row],[Age]]&lt;=55,"51-55",Table1[[#This Row],[Age]]&lt;=60,"56-60",Table1[[#This Row],[Age]]&lt;=66,"61-66")</f>
        <v>41-45</v>
      </c>
      <c r="O138" t="s">
        <v>1076</v>
      </c>
      <c r="P138" t="str" cm="1">
        <f t="array" ref="P138">_xlfn.IFS(Table1[[#This Row],[Company Tenure]]&lt;=5,"1-5",Table1[[#This Row],[Company Tenure]]&lt;=10,"6-10",Table1[[#This Row],[Company Tenure]]&lt;=15,"11-15",Table1[[#This Row],[Company Tenure]]&lt;=20, "15-20",Table1[[#This Row],[Company Tenure]]&gt;20,"Above 20")</f>
        <v>1-5</v>
      </c>
    </row>
    <row r="139" spans="1:16" x14ac:dyDescent="0.25">
      <c r="A139" t="s">
        <v>363</v>
      </c>
      <c r="B139" t="s">
        <v>355</v>
      </c>
      <c r="C139" t="s">
        <v>68</v>
      </c>
      <c r="D139" t="s">
        <v>23</v>
      </c>
      <c r="E139">
        <v>33</v>
      </c>
      <c r="F139" t="s">
        <v>154</v>
      </c>
      <c r="G139" t="s">
        <v>2</v>
      </c>
      <c r="H139" s="2">
        <v>67698</v>
      </c>
      <c r="I139" s="1">
        <v>42758</v>
      </c>
      <c r="J139" s="3">
        <v>9</v>
      </c>
      <c r="K139" t="s">
        <v>364</v>
      </c>
      <c r="L139" t="s">
        <v>28</v>
      </c>
      <c r="M139">
        <v>5</v>
      </c>
      <c r="N139" t="str" cm="1">
        <f t="array" ref="N139">_xlfn.IFS(AND(24&lt;=Table1[[#This Row],[Age]],Table1[[#This Row],[Age]]&lt;=30),"24-30",Table1[[#This Row],[Age]]&lt;=35,"31-35",Table1[[#This Row],[Age]]&lt;=40,"36-40",Table1[[#This Row],[Age]]&lt;=45,"41-45",Table1[[#This Row],[Age]]&lt;=50,"46-50",Table1[[#This Row],[Age]]&lt;=55,"51-55",Table1[[#This Row],[Age]]&lt;=60,"56-60",Table1[[#This Row],[Age]]&lt;=66,"61-66")</f>
        <v>31-35</v>
      </c>
      <c r="O139" t="s">
        <v>1077</v>
      </c>
      <c r="P139" t="str" cm="1">
        <f t="array" ref="P139">_xlfn.IFS(Table1[[#This Row],[Company Tenure]]&lt;=5,"1-5",Table1[[#This Row],[Company Tenure]]&lt;=10,"6-10",Table1[[#This Row],[Company Tenure]]&lt;=15,"11-15",Table1[[#This Row],[Company Tenure]]&lt;=20, "15-20",Table1[[#This Row],[Company Tenure]]&gt;20,"Above 20")</f>
        <v>6-10</v>
      </c>
    </row>
    <row r="140" spans="1:16" x14ac:dyDescent="0.25">
      <c r="A140" t="s">
        <v>365</v>
      </c>
      <c r="B140" t="s">
        <v>401</v>
      </c>
      <c r="C140" t="s">
        <v>308</v>
      </c>
      <c r="D140" t="s">
        <v>1</v>
      </c>
      <c r="E140">
        <v>57</v>
      </c>
      <c r="F140" t="s">
        <v>295</v>
      </c>
      <c r="G140" t="s">
        <v>2</v>
      </c>
      <c r="H140" s="2">
        <v>110331</v>
      </c>
      <c r="I140" s="1">
        <v>44324</v>
      </c>
      <c r="J140" s="3">
        <v>5</v>
      </c>
      <c r="K140" t="s">
        <v>366</v>
      </c>
      <c r="L140" t="s">
        <v>39</v>
      </c>
      <c r="M140">
        <v>3</v>
      </c>
      <c r="N140" t="str" cm="1">
        <f t="array" ref="N140">_xlfn.IFS(AND(24&lt;=Table1[[#This Row],[Age]],Table1[[#This Row],[Age]]&lt;=30),"24-30",Table1[[#This Row],[Age]]&lt;=35,"31-35",Table1[[#This Row],[Age]]&lt;=40,"36-40",Table1[[#This Row],[Age]]&lt;=45,"41-45",Table1[[#This Row],[Age]]&lt;=50,"46-50",Table1[[#This Row],[Age]]&lt;=55,"51-55",Table1[[#This Row],[Age]]&lt;=60,"56-60",Table1[[#This Row],[Age]]&lt;=66,"61-66")</f>
        <v>56-60</v>
      </c>
      <c r="O140" t="s">
        <v>1074</v>
      </c>
      <c r="P140" t="str" cm="1">
        <f t="array" ref="P140">_xlfn.IFS(Table1[[#This Row],[Company Tenure]]&lt;=5,"1-5",Table1[[#This Row],[Company Tenure]]&lt;=10,"6-10",Table1[[#This Row],[Company Tenure]]&lt;=15,"11-15",Table1[[#This Row],[Company Tenure]]&lt;=20, "15-20",Table1[[#This Row],[Company Tenure]]&gt;20,"Above 20")</f>
        <v>1-5</v>
      </c>
    </row>
    <row r="141" spans="1:16" x14ac:dyDescent="0.25">
      <c r="A141" t="s">
        <v>367</v>
      </c>
      <c r="B141" t="s">
        <v>30</v>
      </c>
      <c r="C141" t="s">
        <v>59</v>
      </c>
      <c r="D141" t="s">
        <v>1</v>
      </c>
      <c r="E141">
        <v>43</v>
      </c>
      <c r="F141" t="s">
        <v>203</v>
      </c>
      <c r="G141" t="s">
        <v>2</v>
      </c>
      <c r="H141" s="2">
        <v>80480</v>
      </c>
      <c r="I141" s="1">
        <v>40912</v>
      </c>
      <c r="J141" s="3">
        <v>14</v>
      </c>
      <c r="K141" t="s">
        <v>368</v>
      </c>
      <c r="L141" t="s">
        <v>207</v>
      </c>
      <c r="M141">
        <v>2</v>
      </c>
      <c r="N141" t="str" cm="1">
        <f t="array" ref="N141">_xlfn.IFS(AND(24&lt;=Table1[[#This Row],[Age]],Table1[[#This Row],[Age]]&lt;=30),"24-30",Table1[[#This Row],[Age]]&lt;=35,"31-35",Table1[[#This Row],[Age]]&lt;=40,"36-40",Table1[[#This Row],[Age]]&lt;=45,"41-45",Table1[[#This Row],[Age]]&lt;=50,"46-50",Table1[[#This Row],[Age]]&lt;=55,"51-55",Table1[[#This Row],[Age]]&lt;=60,"56-60",Table1[[#This Row],[Age]]&lt;=66,"61-66")</f>
        <v>41-45</v>
      </c>
      <c r="O141" t="s">
        <v>1077</v>
      </c>
      <c r="P141" t="str" cm="1">
        <f t="array" ref="P141">_xlfn.IFS(Table1[[#This Row],[Company Tenure]]&lt;=5,"1-5",Table1[[#This Row],[Company Tenure]]&lt;=10,"6-10",Table1[[#This Row],[Company Tenure]]&lt;=15,"11-15",Table1[[#This Row],[Company Tenure]]&lt;=20, "15-20",Table1[[#This Row],[Company Tenure]]&gt;20,"Above 20")</f>
        <v>11-15</v>
      </c>
    </row>
    <row r="142" spans="1:16" x14ac:dyDescent="0.25">
      <c r="A142" t="s">
        <v>369</v>
      </c>
      <c r="B142" t="s">
        <v>47</v>
      </c>
      <c r="C142" t="s">
        <v>7</v>
      </c>
      <c r="D142" t="s">
        <v>1</v>
      </c>
      <c r="E142">
        <v>39</v>
      </c>
      <c r="F142" t="s">
        <v>1066</v>
      </c>
      <c r="G142" t="s">
        <v>63</v>
      </c>
      <c r="H142" s="2">
        <v>72221</v>
      </c>
      <c r="I142" s="1">
        <v>44386</v>
      </c>
      <c r="J142" s="3">
        <v>5</v>
      </c>
      <c r="K142" t="s">
        <v>370</v>
      </c>
      <c r="L142" t="s">
        <v>28</v>
      </c>
      <c r="M142">
        <v>4</v>
      </c>
      <c r="N142" t="str" cm="1">
        <f t="array" ref="N142">_xlfn.IFS(AND(24&lt;=Table1[[#This Row],[Age]],Table1[[#This Row],[Age]]&lt;=30),"24-30",Table1[[#This Row],[Age]]&lt;=35,"31-35",Table1[[#This Row],[Age]]&lt;=40,"36-40",Table1[[#This Row],[Age]]&lt;=45,"41-45",Table1[[#This Row],[Age]]&lt;=50,"46-50",Table1[[#This Row],[Age]]&lt;=55,"51-55",Table1[[#This Row],[Age]]&lt;=60,"56-60",Table1[[#This Row],[Age]]&lt;=66,"61-66")</f>
        <v>36-40</v>
      </c>
      <c r="O142" t="s">
        <v>1077</v>
      </c>
      <c r="P142" t="str" cm="1">
        <f t="array" ref="P142">_xlfn.IFS(Table1[[#This Row],[Company Tenure]]&lt;=5,"1-5",Table1[[#This Row],[Company Tenure]]&lt;=10,"6-10",Table1[[#This Row],[Company Tenure]]&lt;=15,"11-15",Table1[[#This Row],[Company Tenure]]&lt;=20, "15-20",Table1[[#This Row],[Company Tenure]]&gt;20,"Above 20")</f>
        <v>1-5</v>
      </c>
    </row>
    <row r="143" spans="1:16" x14ac:dyDescent="0.25">
      <c r="A143" t="s">
        <v>371</v>
      </c>
      <c r="B143" t="s">
        <v>127</v>
      </c>
      <c r="C143" t="s">
        <v>394</v>
      </c>
      <c r="D143" t="s">
        <v>8</v>
      </c>
      <c r="E143">
        <v>38</v>
      </c>
      <c r="F143" t="s">
        <v>1066</v>
      </c>
      <c r="G143" t="s">
        <v>2</v>
      </c>
      <c r="H143" s="2">
        <v>72730</v>
      </c>
      <c r="I143" s="1">
        <v>44270</v>
      </c>
      <c r="J143" s="3">
        <v>5</v>
      </c>
      <c r="K143" t="s">
        <v>372</v>
      </c>
      <c r="L143" t="s">
        <v>28</v>
      </c>
      <c r="M143">
        <v>4</v>
      </c>
      <c r="N143" t="str" cm="1">
        <f t="array" ref="N143">_xlfn.IFS(AND(24&lt;=Table1[[#This Row],[Age]],Table1[[#This Row],[Age]]&lt;=30),"24-30",Table1[[#This Row],[Age]]&lt;=35,"31-35",Table1[[#This Row],[Age]]&lt;=40,"36-40",Table1[[#This Row],[Age]]&lt;=45,"41-45",Table1[[#This Row],[Age]]&lt;=50,"46-50",Table1[[#This Row],[Age]]&lt;=55,"51-55",Table1[[#This Row],[Age]]&lt;=60,"56-60",Table1[[#This Row],[Age]]&lt;=66,"61-66")</f>
        <v>36-40</v>
      </c>
      <c r="O143" t="s">
        <v>1077</v>
      </c>
      <c r="P143" t="str" cm="1">
        <f t="array" ref="P143">_xlfn.IFS(Table1[[#This Row],[Company Tenure]]&lt;=5,"1-5",Table1[[#This Row],[Company Tenure]]&lt;=10,"6-10",Table1[[#This Row],[Company Tenure]]&lt;=15,"11-15",Table1[[#This Row],[Company Tenure]]&lt;=20, "15-20",Table1[[#This Row],[Company Tenure]]&gt;20,"Above 20")</f>
        <v>1-5</v>
      </c>
    </row>
    <row r="144" spans="1:16" x14ac:dyDescent="0.25">
      <c r="A144" t="s">
        <v>373</v>
      </c>
      <c r="B144" t="s">
        <v>374</v>
      </c>
      <c r="C144" t="s">
        <v>375</v>
      </c>
      <c r="D144" t="s">
        <v>1</v>
      </c>
      <c r="E144">
        <v>39</v>
      </c>
      <c r="F144" t="s">
        <v>181</v>
      </c>
      <c r="G144" t="s">
        <v>63</v>
      </c>
      <c r="H144" s="2">
        <v>54700</v>
      </c>
      <c r="I144" s="1">
        <v>42470</v>
      </c>
      <c r="J144" s="3">
        <v>10</v>
      </c>
      <c r="K144" t="s">
        <v>376</v>
      </c>
      <c r="L144" t="s">
        <v>49</v>
      </c>
      <c r="M144">
        <v>1</v>
      </c>
      <c r="N144" t="str" cm="1">
        <f t="array" ref="N144">_xlfn.IFS(AND(24&lt;=Table1[[#This Row],[Age]],Table1[[#This Row],[Age]]&lt;=30),"24-30",Table1[[#This Row],[Age]]&lt;=35,"31-35",Table1[[#This Row],[Age]]&lt;=40,"36-40",Table1[[#This Row],[Age]]&lt;=45,"41-45",Table1[[#This Row],[Age]]&lt;=50,"46-50",Table1[[#This Row],[Age]]&lt;=55,"51-55",Table1[[#This Row],[Age]]&lt;=60,"56-60",Table1[[#This Row],[Age]]&lt;=66,"61-66")</f>
        <v>36-40</v>
      </c>
      <c r="O144" t="s">
        <v>1077</v>
      </c>
      <c r="P144" t="str" cm="1">
        <f t="array" ref="P144">_xlfn.IFS(Table1[[#This Row],[Company Tenure]]&lt;=5,"1-5",Table1[[#This Row],[Company Tenure]]&lt;=10,"6-10",Table1[[#This Row],[Company Tenure]]&lt;=15,"11-15",Table1[[#This Row],[Company Tenure]]&lt;=20, "15-20",Table1[[#This Row],[Company Tenure]]&gt;20,"Above 20")</f>
        <v>6-10</v>
      </c>
    </row>
    <row r="145" spans="1:16" x14ac:dyDescent="0.25">
      <c r="A145" t="s">
        <v>377</v>
      </c>
      <c r="B145" t="s">
        <v>378</v>
      </c>
      <c r="C145" t="s">
        <v>141</v>
      </c>
      <c r="D145" t="s">
        <v>23</v>
      </c>
      <c r="E145">
        <v>40</v>
      </c>
      <c r="F145" t="s">
        <v>9</v>
      </c>
      <c r="G145" t="s">
        <v>100</v>
      </c>
      <c r="H145" s="2">
        <v>76877</v>
      </c>
      <c r="I145" s="1">
        <v>39325</v>
      </c>
      <c r="J145" s="3">
        <v>19</v>
      </c>
      <c r="K145" t="s">
        <v>379</v>
      </c>
      <c r="L145" t="s">
        <v>54</v>
      </c>
      <c r="M145">
        <v>4</v>
      </c>
      <c r="N145" t="str" cm="1">
        <f t="array" ref="N145">_xlfn.IFS(AND(24&lt;=Table1[[#This Row],[Age]],Table1[[#This Row],[Age]]&lt;=30),"24-30",Table1[[#This Row],[Age]]&lt;=35,"31-35",Table1[[#This Row],[Age]]&lt;=40,"36-40",Table1[[#This Row],[Age]]&lt;=45,"41-45",Table1[[#This Row],[Age]]&lt;=50,"46-50",Table1[[#This Row],[Age]]&lt;=55,"51-55",Table1[[#This Row],[Age]]&lt;=60,"56-60",Table1[[#This Row],[Age]]&lt;=66,"61-66")</f>
        <v>36-40</v>
      </c>
      <c r="O145" t="s">
        <v>1077</v>
      </c>
      <c r="P145" t="str" cm="1">
        <f t="array" ref="P145">_xlfn.IFS(Table1[[#This Row],[Company Tenure]]&lt;=5,"1-5",Table1[[#This Row],[Company Tenure]]&lt;=10,"6-10",Table1[[#This Row],[Company Tenure]]&lt;=15,"11-15",Table1[[#This Row],[Company Tenure]]&lt;=20, "15-20",Table1[[#This Row],[Company Tenure]]&gt;20,"Above 20")</f>
        <v>15-20</v>
      </c>
    </row>
    <row r="146" spans="1:16" x14ac:dyDescent="0.25">
      <c r="A146" t="s">
        <v>380</v>
      </c>
      <c r="B146" t="s">
        <v>378</v>
      </c>
      <c r="C146" t="s">
        <v>68</v>
      </c>
      <c r="D146" t="s">
        <v>1</v>
      </c>
      <c r="E146">
        <v>35</v>
      </c>
      <c r="F146" t="s">
        <v>36</v>
      </c>
      <c r="G146" t="s">
        <v>17</v>
      </c>
      <c r="H146" s="2">
        <v>93968.05</v>
      </c>
      <c r="I146" s="1">
        <v>43706</v>
      </c>
      <c r="J146" s="3">
        <v>7</v>
      </c>
      <c r="K146" t="s">
        <v>381</v>
      </c>
      <c r="L146" t="s">
        <v>85</v>
      </c>
      <c r="M146">
        <v>3</v>
      </c>
      <c r="N146" t="str" cm="1">
        <f t="array" ref="N146">_xlfn.IFS(AND(24&lt;=Table1[[#This Row],[Age]],Table1[[#This Row],[Age]]&lt;=30),"24-30",Table1[[#This Row],[Age]]&lt;=35,"31-35",Table1[[#This Row],[Age]]&lt;=40,"36-40",Table1[[#This Row],[Age]]&lt;=45,"41-45",Table1[[#This Row],[Age]]&lt;=50,"46-50",Table1[[#This Row],[Age]]&lt;=55,"51-55",Table1[[#This Row],[Age]]&lt;=60,"56-60",Table1[[#This Row],[Age]]&lt;=66,"61-66")</f>
        <v>31-35</v>
      </c>
      <c r="O146" t="s">
        <v>1077</v>
      </c>
      <c r="P146" t="str" cm="1">
        <f t="array" ref="P146">_xlfn.IFS(Table1[[#This Row],[Company Tenure]]&lt;=5,"1-5",Table1[[#This Row],[Company Tenure]]&lt;=10,"6-10",Table1[[#This Row],[Company Tenure]]&lt;=15,"11-15",Table1[[#This Row],[Company Tenure]]&lt;=20, "15-20",Table1[[#This Row],[Company Tenure]]&gt;20,"Above 20")</f>
        <v>6-10</v>
      </c>
    </row>
    <row r="147" spans="1:16" x14ac:dyDescent="0.25">
      <c r="A147" t="s">
        <v>382</v>
      </c>
      <c r="B147" t="s">
        <v>47</v>
      </c>
      <c r="C147" t="s">
        <v>22</v>
      </c>
      <c r="D147" t="s">
        <v>1</v>
      </c>
      <c r="E147">
        <v>44</v>
      </c>
      <c r="F147" t="s">
        <v>1066</v>
      </c>
      <c r="G147" t="s">
        <v>44</v>
      </c>
      <c r="H147" s="2">
        <v>44185</v>
      </c>
      <c r="I147" s="1">
        <v>40186</v>
      </c>
      <c r="J147" s="3">
        <v>16</v>
      </c>
      <c r="K147" t="s">
        <v>383</v>
      </c>
      <c r="L147" t="s">
        <v>85</v>
      </c>
      <c r="M147">
        <v>2</v>
      </c>
      <c r="N147" t="str" cm="1">
        <f t="array" ref="N147">_xlfn.IFS(AND(24&lt;=Table1[[#This Row],[Age]],Table1[[#This Row],[Age]]&lt;=30),"24-30",Table1[[#This Row],[Age]]&lt;=35,"31-35",Table1[[#This Row],[Age]]&lt;=40,"36-40",Table1[[#This Row],[Age]]&lt;=45,"41-45",Table1[[#This Row],[Age]]&lt;=50,"46-50",Table1[[#This Row],[Age]]&lt;=55,"51-55",Table1[[#This Row],[Age]]&lt;=60,"56-60",Table1[[#This Row],[Age]]&lt;=66,"61-66")</f>
        <v>41-45</v>
      </c>
      <c r="O147" t="s">
        <v>1076</v>
      </c>
      <c r="P147" t="str" cm="1">
        <f t="array" ref="P147">_xlfn.IFS(Table1[[#This Row],[Company Tenure]]&lt;=5,"1-5",Table1[[#This Row],[Company Tenure]]&lt;=10,"6-10",Table1[[#This Row],[Company Tenure]]&lt;=15,"11-15",Table1[[#This Row],[Company Tenure]]&lt;=20, "15-20",Table1[[#This Row],[Company Tenure]]&gt;20,"Above 20")</f>
        <v>15-20</v>
      </c>
    </row>
    <row r="148" spans="1:16" x14ac:dyDescent="0.25">
      <c r="A148" t="s">
        <v>384</v>
      </c>
      <c r="B148" t="s">
        <v>47</v>
      </c>
      <c r="C148" t="s">
        <v>16</v>
      </c>
      <c r="D148" t="s">
        <v>8</v>
      </c>
      <c r="E148">
        <v>30</v>
      </c>
      <c r="F148" t="s">
        <v>313</v>
      </c>
      <c r="G148" t="s">
        <v>37</v>
      </c>
      <c r="H148" s="2">
        <v>95549</v>
      </c>
      <c r="I148" s="1">
        <v>43441</v>
      </c>
      <c r="J148" s="3">
        <v>7</v>
      </c>
      <c r="K148" t="s">
        <v>48</v>
      </c>
      <c r="L148" t="s">
        <v>14</v>
      </c>
      <c r="M148">
        <v>3</v>
      </c>
      <c r="N148" t="str" cm="1">
        <f t="array" ref="N148">_xlfn.IFS(AND(24&lt;=Table1[[#This Row],[Age]],Table1[[#This Row],[Age]]&lt;=30),"24-30",Table1[[#This Row],[Age]]&lt;=35,"31-35",Table1[[#This Row],[Age]]&lt;=40,"36-40",Table1[[#This Row],[Age]]&lt;=45,"41-45",Table1[[#This Row],[Age]]&lt;=50,"46-50",Table1[[#This Row],[Age]]&lt;=55,"51-55",Table1[[#This Row],[Age]]&lt;=60,"56-60",Table1[[#This Row],[Age]]&lt;=66,"61-66")</f>
        <v>24-30</v>
      </c>
      <c r="O148" t="s">
        <v>1077</v>
      </c>
      <c r="P148" t="str" cm="1">
        <f t="array" ref="P148">_xlfn.IFS(Table1[[#This Row],[Company Tenure]]&lt;=5,"1-5",Table1[[#This Row],[Company Tenure]]&lt;=10,"6-10",Table1[[#This Row],[Company Tenure]]&lt;=15,"11-15",Table1[[#This Row],[Company Tenure]]&lt;=20, "15-20",Table1[[#This Row],[Company Tenure]]&gt;20,"Above 20")</f>
        <v>6-10</v>
      </c>
    </row>
    <row r="149" spans="1:16" x14ac:dyDescent="0.25">
      <c r="A149" t="s">
        <v>385</v>
      </c>
      <c r="B149" t="s">
        <v>221</v>
      </c>
      <c r="C149" t="s">
        <v>291</v>
      </c>
      <c r="D149" t="s">
        <v>1</v>
      </c>
      <c r="E149">
        <v>37</v>
      </c>
      <c r="F149" t="s">
        <v>9</v>
      </c>
      <c r="G149" t="s">
        <v>44</v>
      </c>
      <c r="H149" s="2">
        <v>82509</v>
      </c>
      <c r="I149" s="1">
        <v>43173</v>
      </c>
      <c r="J149" s="3">
        <v>8</v>
      </c>
      <c r="K149" t="s">
        <v>386</v>
      </c>
      <c r="L149" t="s">
        <v>107</v>
      </c>
      <c r="M149">
        <v>2</v>
      </c>
      <c r="N149" t="str" cm="1">
        <f t="array" ref="N149">_xlfn.IFS(AND(24&lt;=Table1[[#This Row],[Age]],Table1[[#This Row],[Age]]&lt;=30),"24-30",Table1[[#This Row],[Age]]&lt;=35,"31-35",Table1[[#This Row],[Age]]&lt;=40,"36-40",Table1[[#This Row],[Age]]&lt;=45,"41-45",Table1[[#This Row],[Age]]&lt;=50,"46-50",Table1[[#This Row],[Age]]&lt;=55,"51-55",Table1[[#This Row],[Age]]&lt;=60,"56-60",Table1[[#This Row],[Age]]&lt;=66,"61-66")</f>
        <v>36-40</v>
      </c>
      <c r="O149" t="s">
        <v>1077</v>
      </c>
      <c r="P149" t="str" cm="1">
        <f t="array" ref="P149">_xlfn.IFS(Table1[[#This Row],[Company Tenure]]&lt;=5,"1-5",Table1[[#This Row],[Company Tenure]]&lt;=10,"6-10",Table1[[#This Row],[Company Tenure]]&lt;=15,"11-15",Table1[[#This Row],[Company Tenure]]&lt;=20, "15-20",Table1[[#This Row],[Company Tenure]]&gt;20,"Above 20")</f>
        <v>6-10</v>
      </c>
    </row>
    <row r="150" spans="1:16" x14ac:dyDescent="0.25">
      <c r="A150" t="s">
        <v>387</v>
      </c>
      <c r="B150" t="s">
        <v>79</v>
      </c>
      <c r="C150" t="s">
        <v>83</v>
      </c>
      <c r="D150" t="s">
        <v>8</v>
      </c>
      <c r="E150">
        <v>24</v>
      </c>
      <c r="F150" t="s">
        <v>203</v>
      </c>
      <c r="G150" t="s">
        <v>17</v>
      </c>
      <c r="H150" s="2">
        <v>58009.35</v>
      </c>
      <c r="I150" s="1">
        <v>45539</v>
      </c>
      <c r="J150" s="3">
        <v>2</v>
      </c>
      <c r="K150" t="s">
        <v>388</v>
      </c>
      <c r="L150" t="s">
        <v>65</v>
      </c>
      <c r="M150">
        <v>2</v>
      </c>
      <c r="N150" t="str" cm="1">
        <f t="array" ref="N150">_xlfn.IFS(AND(24&lt;=Table1[[#This Row],[Age]],Table1[[#This Row],[Age]]&lt;=30),"24-30",Table1[[#This Row],[Age]]&lt;=35,"31-35",Table1[[#This Row],[Age]]&lt;=40,"36-40",Table1[[#This Row],[Age]]&lt;=45,"41-45",Table1[[#This Row],[Age]]&lt;=50,"46-50",Table1[[#This Row],[Age]]&lt;=55,"51-55",Table1[[#This Row],[Age]]&lt;=60,"56-60",Table1[[#This Row],[Age]]&lt;=66,"61-66")</f>
        <v>24-30</v>
      </c>
      <c r="O150" t="s">
        <v>1077</v>
      </c>
      <c r="P150" t="str" cm="1">
        <f t="array" ref="P150">_xlfn.IFS(Table1[[#This Row],[Company Tenure]]&lt;=5,"1-5",Table1[[#This Row],[Company Tenure]]&lt;=10,"6-10",Table1[[#This Row],[Company Tenure]]&lt;=15,"11-15",Table1[[#This Row],[Company Tenure]]&lt;=20, "15-20",Table1[[#This Row],[Company Tenure]]&gt;20,"Above 20")</f>
        <v>1-5</v>
      </c>
    </row>
    <row r="151" spans="1:16" x14ac:dyDescent="0.25">
      <c r="A151" t="s">
        <v>389</v>
      </c>
      <c r="B151" t="s">
        <v>127</v>
      </c>
      <c r="C151" t="s">
        <v>153</v>
      </c>
      <c r="D151" t="s">
        <v>1</v>
      </c>
      <c r="E151">
        <v>49</v>
      </c>
      <c r="F151" t="s">
        <v>203</v>
      </c>
      <c r="G151" t="s">
        <v>2</v>
      </c>
      <c r="H151" s="2">
        <v>92201</v>
      </c>
      <c r="I151" s="1">
        <v>38877</v>
      </c>
      <c r="J151" s="3">
        <v>20</v>
      </c>
      <c r="K151" t="s">
        <v>390</v>
      </c>
      <c r="L151" t="s">
        <v>107</v>
      </c>
      <c r="M151">
        <v>3</v>
      </c>
      <c r="N151" t="str" cm="1">
        <f t="array" ref="N151">_xlfn.IFS(AND(24&lt;=Table1[[#This Row],[Age]],Table1[[#This Row],[Age]]&lt;=30),"24-30",Table1[[#This Row],[Age]]&lt;=35,"31-35",Table1[[#This Row],[Age]]&lt;=40,"36-40",Table1[[#This Row],[Age]]&lt;=45,"41-45",Table1[[#This Row],[Age]]&lt;=50,"46-50",Table1[[#This Row],[Age]]&lt;=55,"51-55",Table1[[#This Row],[Age]]&lt;=60,"56-60",Table1[[#This Row],[Age]]&lt;=66,"61-66")</f>
        <v>46-50</v>
      </c>
      <c r="O151" t="s">
        <v>1077</v>
      </c>
      <c r="P151" t="str" cm="1">
        <f t="array" ref="P151">_xlfn.IFS(Table1[[#This Row],[Company Tenure]]&lt;=5,"1-5",Table1[[#This Row],[Company Tenure]]&lt;=10,"6-10",Table1[[#This Row],[Company Tenure]]&lt;=15,"11-15",Table1[[#This Row],[Company Tenure]]&lt;=20, "15-20",Table1[[#This Row],[Company Tenure]]&gt;20,"Above 20")</f>
        <v>15-20</v>
      </c>
    </row>
    <row r="152" spans="1:16" x14ac:dyDescent="0.25">
      <c r="A152" t="s">
        <v>391</v>
      </c>
      <c r="B152" t="s">
        <v>30</v>
      </c>
      <c r="C152" t="s">
        <v>222</v>
      </c>
      <c r="D152" t="s">
        <v>1</v>
      </c>
      <c r="E152">
        <v>51</v>
      </c>
      <c r="F152" t="s">
        <v>154</v>
      </c>
      <c r="G152" t="s">
        <v>44</v>
      </c>
      <c r="H152" s="2">
        <v>41306</v>
      </c>
      <c r="I152" s="1">
        <v>40544</v>
      </c>
      <c r="J152" s="3">
        <v>15</v>
      </c>
      <c r="K152" t="s">
        <v>392</v>
      </c>
      <c r="L152" t="s">
        <v>54</v>
      </c>
      <c r="M152">
        <v>3</v>
      </c>
      <c r="N152" t="str" cm="1">
        <f t="array" ref="N152">_xlfn.IFS(AND(24&lt;=Table1[[#This Row],[Age]],Table1[[#This Row],[Age]]&lt;=30),"24-30",Table1[[#This Row],[Age]]&lt;=35,"31-35",Table1[[#This Row],[Age]]&lt;=40,"36-40",Table1[[#This Row],[Age]]&lt;=45,"41-45",Table1[[#This Row],[Age]]&lt;=50,"46-50",Table1[[#This Row],[Age]]&lt;=55,"51-55",Table1[[#This Row],[Age]]&lt;=60,"56-60",Table1[[#This Row],[Age]]&lt;=66,"61-66")</f>
        <v>51-55</v>
      </c>
      <c r="O152" t="s">
        <v>1076</v>
      </c>
      <c r="P152" t="str" cm="1">
        <f t="array" ref="P152">_xlfn.IFS(Table1[[#This Row],[Company Tenure]]&lt;=5,"1-5",Table1[[#This Row],[Company Tenure]]&lt;=10,"6-10",Table1[[#This Row],[Company Tenure]]&lt;=15,"11-15",Table1[[#This Row],[Company Tenure]]&lt;=20, "15-20",Table1[[#This Row],[Company Tenure]]&gt;20,"Above 20")</f>
        <v>11-15</v>
      </c>
    </row>
    <row r="153" spans="1:16" x14ac:dyDescent="0.25">
      <c r="A153" t="s">
        <v>393</v>
      </c>
      <c r="B153" t="s">
        <v>99</v>
      </c>
      <c r="C153" t="s">
        <v>394</v>
      </c>
      <c r="D153" t="s">
        <v>23</v>
      </c>
      <c r="E153">
        <v>39</v>
      </c>
      <c r="F153" t="s">
        <v>1066</v>
      </c>
      <c r="G153" t="s">
        <v>17</v>
      </c>
      <c r="H153" s="2">
        <v>56325</v>
      </c>
      <c r="I153" s="1">
        <v>40598</v>
      </c>
      <c r="J153" s="3">
        <v>15</v>
      </c>
      <c r="K153" t="s">
        <v>395</v>
      </c>
      <c r="L153" t="s">
        <v>207</v>
      </c>
      <c r="M153">
        <v>2</v>
      </c>
      <c r="N153" t="str" cm="1">
        <f t="array" ref="N153">_xlfn.IFS(AND(24&lt;=Table1[[#This Row],[Age]],Table1[[#This Row],[Age]]&lt;=30),"24-30",Table1[[#This Row],[Age]]&lt;=35,"31-35",Table1[[#This Row],[Age]]&lt;=40,"36-40",Table1[[#This Row],[Age]]&lt;=45,"41-45",Table1[[#This Row],[Age]]&lt;=50,"46-50",Table1[[#This Row],[Age]]&lt;=55,"51-55",Table1[[#This Row],[Age]]&lt;=60,"56-60",Table1[[#This Row],[Age]]&lt;=66,"61-66")</f>
        <v>36-40</v>
      </c>
      <c r="O153" t="s">
        <v>1077</v>
      </c>
      <c r="P153" t="str" cm="1">
        <f t="array" ref="P153">_xlfn.IFS(Table1[[#This Row],[Company Tenure]]&lt;=5,"1-5",Table1[[#This Row],[Company Tenure]]&lt;=10,"6-10",Table1[[#This Row],[Company Tenure]]&lt;=15,"11-15",Table1[[#This Row],[Company Tenure]]&lt;=20, "15-20",Table1[[#This Row],[Company Tenure]]&gt;20,"Above 20")</f>
        <v>11-15</v>
      </c>
    </row>
    <row r="154" spans="1:16" x14ac:dyDescent="0.25">
      <c r="A154" t="s">
        <v>396</v>
      </c>
      <c r="B154" t="s">
        <v>321</v>
      </c>
      <c r="C154" t="s">
        <v>308</v>
      </c>
      <c r="D154" t="s">
        <v>23</v>
      </c>
      <c r="E154">
        <v>45</v>
      </c>
      <c r="F154" t="s">
        <v>203</v>
      </c>
      <c r="G154" t="s">
        <v>17</v>
      </c>
      <c r="H154" s="2">
        <v>58009.35</v>
      </c>
      <c r="I154" s="1">
        <v>40690</v>
      </c>
      <c r="J154" s="3">
        <v>15</v>
      </c>
      <c r="K154" t="s">
        <v>397</v>
      </c>
      <c r="L154" t="s">
        <v>11</v>
      </c>
      <c r="M154">
        <v>3</v>
      </c>
      <c r="N154" t="str" cm="1">
        <f t="array" ref="N154">_xlfn.IFS(AND(24&lt;=Table1[[#This Row],[Age]],Table1[[#This Row],[Age]]&lt;=30),"24-30",Table1[[#This Row],[Age]]&lt;=35,"31-35",Table1[[#This Row],[Age]]&lt;=40,"36-40",Table1[[#This Row],[Age]]&lt;=45,"41-45",Table1[[#This Row],[Age]]&lt;=50,"46-50",Table1[[#This Row],[Age]]&lt;=55,"51-55",Table1[[#This Row],[Age]]&lt;=60,"56-60",Table1[[#This Row],[Age]]&lt;=66,"61-66")</f>
        <v>41-45</v>
      </c>
      <c r="O154" t="s">
        <v>1077</v>
      </c>
      <c r="P154" t="str" cm="1">
        <f t="array" ref="P154">_xlfn.IFS(Table1[[#This Row],[Company Tenure]]&lt;=5,"1-5",Table1[[#This Row],[Company Tenure]]&lt;=10,"6-10",Table1[[#This Row],[Company Tenure]]&lt;=15,"11-15",Table1[[#This Row],[Company Tenure]]&lt;=20, "15-20",Table1[[#This Row],[Company Tenure]]&gt;20,"Above 20")</f>
        <v>11-15</v>
      </c>
    </row>
    <row r="155" spans="1:16" x14ac:dyDescent="0.25">
      <c r="A155" t="s">
        <v>398</v>
      </c>
      <c r="B155" t="s">
        <v>514</v>
      </c>
      <c r="C155" t="s">
        <v>76</v>
      </c>
      <c r="D155" t="s">
        <v>1</v>
      </c>
      <c r="E155">
        <v>43</v>
      </c>
      <c r="F155" t="s">
        <v>154</v>
      </c>
      <c r="G155" t="s">
        <v>63</v>
      </c>
      <c r="H155" s="2">
        <v>52659</v>
      </c>
      <c r="I155" s="1">
        <v>43900</v>
      </c>
      <c r="J155" s="3">
        <v>6</v>
      </c>
      <c r="K155" t="s">
        <v>399</v>
      </c>
      <c r="L155" t="s">
        <v>54</v>
      </c>
      <c r="M155">
        <v>4</v>
      </c>
      <c r="N155" t="str" cm="1">
        <f t="array" ref="N155">_xlfn.IFS(AND(24&lt;=Table1[[#This Row],[Age]],Table1[[#This Row],[Age]]&lt;=30),"24-30",Table1[[#This Row],[Age]]&lt;=35,"31-35",Table1[[#This Row],[Age]]&lt;=40,"36-40",Table1[[#This Row],[Age]]&lt;=45,"41-45",Table1[[#This Row],[Age]]&lt;=50,"46-50",Table1[[#This Row],[Age]]&lt;=55,"51-55",Table1[[#This Row],[Age]]&lt;=60,"56-60",Table1[[#This Row],[Age]]&lt;=66,"61-66")</f>
        <v>41-45</v>
      </c>
      <c r="O155" t="s">
        <v>1077</v>
      </c>
      <c r="P155" t="str" cm="1">
        <f t="array" ref="P155">_xlfn.IFS(Table1[[#This Row],[Company Tenure]]&lt;=5,"1-5",Table1[[#This Row],[Company Tenure]]&lt;=10,"6-10",Table1[[#This Row],[Company Tenure]]&lt;=15,"11-15",Table1[[#This Row],[Company Tenure]]&lt;=20, "15-20",Table1[[#This Row],[Company Tenure]]&gt;20,"Above 20")</f>
        <v>6-10</v>
      </c>
    </row>
    <row r="156" spans="1:16" x14ac:dyDescent="0.25">
      <c r="A156" t="s">
        <v>400</v>
      </c>
      <c r="B156" t="s">
        <v>401</v>
      </c>
      <c r="C156" t="s">
        <v>402</v>
      </c>
      <c r="D156" t="s">
        <v>8</v>
      </c>
      <c r="E156">
        <v>55</v>
      </c>
      <c r="F156" t="s">
        <v>154</v>
      </c>
      <c r="G156" t="s">
        <v>105</v>
      </c>
      <c r="H156" s="2">
        <v>77734.55</v>
      </c>
      <c r="I156" s="1">
        <v>40861</v>
      </c>
      <c r="J156" s="3">
        <v>14</v>
      </c>
      <c r="K156" t="s">
        <v>403</v>
      </c>
      <c r="L156" t="s">
        <v>207</v>
      </c>
      <c r="M156">
        <v>4</v>
      </c>
      <c r="N156" t="str" cm="1">
        <f t="array" ref="N156">_xlfn.IFS(AND(24&lt;=Table1[[#This Row],[Age]],Table1[[#This Row],[Age]]&lt;=30),"24-30",Table1[[#This Row],[Age]]&lt;=35,"31-35",Table1[[#This Row],[Age]]&lt;=40,"36-40",Table1[[#This Row],[Age]]&lt;=45,"41-45",Table1[[#This Row],[Age]]&lt;=50,"46-50",Table1[[#This Row],[Age]]&lt;=55,"51-55",Table1[[#This Row],[Age]]&lt;=60,"56-60",Table1[[#This Row],[Age]]&lt;=66,"61-66")</f>
        <v>51-55</v>
      </c>
      <c r="O156" t="s">
        <v>1077</v>
      </c>
      <c r="P156" t="str" cm="1">
        <f t="array" ref="P156">_xlfn.IFS(Table1[[#This Row],[Company Tenure]]&lt;=5,"1-5",Table1[[#This Row],[Company Tenure]]&lt;=10,"6-10",Table1[[#This Row],[Company Tenure]]&lt;=15,"11-15",Table1[[#This Row],[Company Tenure]]&lt;=20, "15-20",Table1[[#This Row],[Company Tenure]]&gt;20,"Above 20")</f>
        <v>11-15</v>
      </c>
    </row>
    <row r="157" spans="1:16" x14ac:dyDescent="0.25">
      <c r="A157" t="s">
        <v>404</v>
      </c>
      <c r="B157" t="s">
        <v>115</v>
      </c>
      <c r="C157" t="s">
        <v>104</v>
      </c>
      <c r="D157" t="s">
        <v>1</v>
      </c>
      <c r="E157">
        <v>41</v>
      </c>
      <c r="F157" t="s">
        <v>32</v>
      </c>
      <c r="G157" t="s">
        <v>44</v>
      </c>
      <c r="H157" s="2">
        <v>70472.5</v>
      </c>
      <c r="I157" s="1">
        <v>40540</v>
      </c>
      <c r="J157" s="3">
        <v>15</v>
      </c>
      <c r="K157" t="s">
        <v>405</v>
      </c>
      <c r="L157" t="s">
        <v>11</v>
      </c>
      <c r="M157">
        <v>5</v>
      </c>
      <c r="N157" t="str" cm="1">
        <f t="array" ref="N157">_xlfn.IFS(AND(24&lt;=Table1[[#This Row],[Age]],Table1[[#This Row],[Age]]&lt;=30),"24-30",Table1[[#This Row],[Age]]&lt;=35,"31-35",Table1[[#This Row],[Age]]&lt;=40,"36-40",Table1[[#This Row],[Age]]&lt;=45,"41-45",Table1[[#This Row],[Age]]&lt;=50,"46-50",Table1[[#This Row],[Age]]&lt;=55,"51-55",Table1[[#This Row],[Age]]&lt;=60,"56-60",Table1[[#This Row],[Age]]&lt;=66,"61-66")</f>
        <v>41-45</v>
      </c>
      <c r="O157" t="s">
        <v>1077</v>
      </c>
      <c r="P157" t="str" cm="1">
        <f t="array" ref="P157">_xlfn.IFS(Table1[[#This Row],[Company Tenure]]&lt;=5,"1-5",Table1[[#This Row],[Company Tenure]]&lt;=10,"6-10",Table1[[#This Row],[Company Tenure]]&lt;=15,"11-15",Table1[[#This Row],[Company Tenure]]&lt;=20, "15-20",Table1[[#This Row],[Company Tenure]]&gt;20,"Above 20")</f>
        <v>11-15</v>
      </c>
    </row>
    <row r="158" spans="1:16" x14ac:dyDescent="0.25">
      <c r="A158" t="s">
        <v>406</v>
      </c>
      <c r="B158" t="s">
        <v>127</v>
      </c>
      <c r="C158" t="s">
        <v>169</v>
      </c>
      <c r="D158" t="s">
        <v>8</v>
      </c>
      <c r="E158">
        <v>38</v>
      </c>
      <c r="F158" t="s">
        <v>203</v>
      </c>
      <c r="G158" t="s">
        <v>17</v>
      </c>
      <c r="H158" s="2">
        <v>46452</v>
      </c>
      <c r="I158" s="1">
        <v>42793</v>
      </c>
      <c r="J158" s="3">
        <v>9</v>
      </c>
      <c r="K158" t="s">
        <v>407</v>
      </c>
      <c r="L158" t="s">
        <v>107</v>
      </c>
      <c r="M158">
        <v>3</v>
      </c>
      <c r="N158" t="str" cm="1">
        <f t="array" ref="N158">_xlfn.IFS(AND(24&lt;=Table1[[#This Row],[Age]],Table1[[#This Row],[Age]]&lt;=30),"24-30",Table1[[#This Row],[Age]]&lt;=35,"31-35",Table1[[#This Row],[Age]]&lt;=40,"36-40",Table1[[#This Row],[Age]]&lt;=45,"41-45",Table1[[#This Row],[Age]]&lt;=50,"46-50",Table1[[#This Row],[Age]]&lt;=55,"51-55",Table1[[#This Row],[Age]]&lt;=60,"56-60",Table1[[#This Row],[Age]]&lt;=66,"61-66")</f>
        <v>36-40</v>
      </c>
      <c r="O158" t="s">
        <v>1076</v>
      </c>
      <c r="P158" t="str" cm="1">
        <f t="array" ref="P158">_xlfn.IFS(Table1[[#This Row],[Company Tenure]]&lt;=5,"1-5",Table1[[#This Row],[Company Tenure]]&lt;=10,"6-10",Table1[[#This Row],[Company Tenure]]&lt;=15,"11-15",Table1[[#This Row],[Company Tenure]]&lt;=20, "15-20",Table1[[#This Row],[Company Tenure]]&gt;20,"Above 20")</f>
        <v>6-10</v>
      </c>
    </row>
    <row r="159" spans="1:16" x14ac:dyDescent="0.25">
      <c r="A159" t="s">
        <v>408</v>
      </c>
      <c r="B159" t="s">
        <v>334</v>
      </c>
      <c r="C159" t="s">
        <v>291</v>
      </c>
      <c r="D159" t="s">
        <v>8</v>
      </c>
      <c r="E159">
        <v>43</v>
      </c>
      <c r="F159" t="s">
        <v>133</v>
      </c>
      <c r="G159" t="s">
        <v>17</v>
      </c>
      <c r="H159" s="2">
        <v>66508</v>
      </c>
      <c r="I159" s="1" t="s">
        <v>1059</v>
      </c>
      <c r="J159" s="3" t="s">
        <v>1059</v>
      </c>
      <c r="K159" t="s">
        <v>409</v>
      </c>
      <c r="L159" t="s">
        <v>19</v>
      </c>
      <c r="M159">
        <v>1</v>
      </c>
      <c r="N159" t="str" cm="1">
        <f t="array" ref="N159">_xlfn.IFS(AND(24&lt;=Table1[[#This Row],[Age]],Table1[[#This Row],[Age]]&lt;=30),"24-30",Table1[[#This Row],[Age]]&lt;=35,"31-35",Table1[[#This Row],[Age]]&lt;=40,"36-40",Table1[[#This Row],[Age]]&lt;=45,"41-45",Table1[[#This Row],[Age]]&lt;=50,"46-50",Table1[[#This Row],[Age]]&lt;=55,"51-55",Table1[[#This Row],[Age]]&lt;=60,"56-60",Table1[[#This Row],[Age]]&lt;=66,"61-66")</f>
        <v>41-45</v>
      </c>
      <c r="O159" t="s">
        <v>1077</v>
      </c>
      <c r="P159" t="str" cm="1">
        <f t="array" ref="P159">_xlfn.IFS(Table1[[#This Row],[Company Tenure]]&lt;=5,"1-5",Table1[[#This Row],[Company Tenure]]&lt;=10,"6-10",Table1[[#This Row],[Company Tenure]]&lt;=15,"11-15",Table1[[#This Row],[Company Tenure]]&lt;=20, "15-20",Table1[[#This Row],[Company Tenure]]&gt;20,"Above 20")</f>
        <v>Above 20</v>
      </c>
    </row>
    <row r="160" spans="1:16" x14ac:dyDescent="0.25">
      <c r="A160" t="s">
        <v>410</v>
      </c>
      <c r="B160" t="s">
        <v>334</v>
      </c>
      <c r="C160" t="s">
        <v>124</v>
      </c>
      <c r="D160" t="s">
        <v>1</v>
      </c>
      <c r="E160">
        <v>52</v>
      </c>
      <c r="F160" t="s">
        <v>142</v>
      </c>
      <c r="G160" t="s">
        <v>44</v>
      </c>
      <c r="H160" s="2">
        <v>52018.05</v>
      </c>
      <c r="I160" s="1">
        <v>39263</v>
      </c>
      <c r="J160" s="3">
        <v>19</v>
      </c>
      <c r="K160" t="s">
        <v>411</v>
      </c>
      <c r="L160" t="s">
        <v>54</v>
      </c>
      <c r="M160">
        <v>5</v>
      </c>
      <c r="N160" t="str" cm="1">
        <f t="array" ref="N160">_xlfn.IFS(AND(24&lt;=Table1[[#This Row],[Age]],Table1[[#This Row],[Age]]&lt;=30),"24-30",Table1[[#This Row],[Age]]&lt;=35,"31-35",Table1[[#This Row],[Age]]&lt;=40,"36-40",Table1[[#This Row],[Age]]&lt;=45,"41-45",Table1[[#This Row],[Age]]&lt;=50,"46-50",Table1[[#This Row],[Age]]&lt;=55,"51-55",Table1[[#This Row],[Age]]&lt;=60,"56-60",Table1[[#This Row],[Age]]&lt;=66,"61-66")</f>
        <v>51-55</v>
      </c>
      <c r="O160" t="s">
        <v>1077</v>
      </c>
      <c r="P160" t="str" cm="1">
        <f t="array" ref="P160">_xlfn.IFS(Table1[[#This Row],[Company Tenure]]&lt;=5,"1-5",Table1[[#This Row],[Company Tenure]]&lt;=10,"6-10",Table1[[#This Row],[Company Tenure]]&lt;=15,"11-15",Table1[[#This Row],[Company Tenure]]&lt;=20, "15-20",Table1[[#This Row],[Company Tenure]]&gt;20,"Above 20")</f>
        <v>15-20</v>
      </c>
    </row>
    <row r="161" spans="1:16" x14ac:dyDescent="0.25">
      <c r="A161" t="s">
        <v>412</v>
      </c>
      <c r="B161" t="s">
        <v>321</v>
      </c>
      <c r="C161" t="s">
        <v>356</v>
      </c>
      <c r="D161" t="s">
        <v>8</v>
      </c>
      <c r="E161">
        <v>42</v>
      </c>
      <c r="F161" t="s">
        <v>154</v>
      </c>
      <c r="G161" t="s">
        <v>105</v>
      </c>
      <c r="H161" s="2">
        <v>73619</v>
      </c>
      <c r="I161" s="1">
        <v>41971</v>
      </c>
      <c r="J161" s="3">
        <v>11</v>
      </c>
      <c r="K161" t="s">
        <v>413</v>
      </c>
      <c r="L161" t="s">
        <v>207</v>
      </c>
      <c r="M161">
        <v>5</v>
      </c>
      <c r="N161" t="str" cm="1">
        <f t="array" ref="N161">_xlfn.IFS(AND(24&lt;=Table1[[#This Row],[Age]],Table1[[#This Row],[Age]]&lt;=30),"24-30",Table1[[#This Row],[Age]]&lt;=35,"31-35",Table1[[#This Row],[Age]]&lt;=40,"36-40",Table1[[#This Row],[Age]]&lt;=45,"41-45",Table1[[#This Row],[Age]]&lt;=50,"46-50",Table1[[#This Row],[Age]]&lt;=55,"51-55",Table1[[#This Row],[Age]]&lt;=60,"56-60",Table1[[#This Row],[Age]]&lt;=66,"61-66")</f>
        <v>41-45</v>
      </c>
      <c r="O161" t="s">
        <v>1077</v>
      </c>
      <c r="P161" t="str" cm="1">
        <f t="array" ref="P161">_xlfn.IFS(Table1[[#This Row],[Company Tenure]]&lt;=5,"1-5",Table1[[#This Row],[Company Tenure]]&lt;=10,"6-10",Table1[[#This Row],[Company Tenure]]&lt;=15,"11-15",Table1[[#This Row],[Company Tenure]]&lt;=20, "15-20",Table1[[#This Row],[Company Tenure]]&gt;20,"Above 20")</f>
        <v>11-15</v>
      </c>
    </row>
    <row r="162" spans="1:16" x14ac:dyDescent="0.25">
      <c r="A162" t="s">
        <v>414</v>
      </c>
      <c r="B162" t="s">
        <v>476</v>
      </c>
      <c r="C162" t="s">
        <v>7</v>
      </c>
      <c r="D162" t="s">
        <v>8</v>
      </c>
      <c r="E162">
        <v>46</v>
      </c>
      <c r="F162" t="s">
        <v>313</v>
      </c>
      <c r="G162" t="s">
        <v>2</v>
      </c>
      <c r="H162" s="2">
        <v>127143</v>
      </c>
      <c r="I162" s="1">
        <v>38694</v>
      </c>
      <c r="J162" s="3">
        <v>20</v>
      </c>
      <c r="K162" t="s">
        <v>415</v>
      </c>
      <c r="L162" t="s">
        <v>120</v>
      </c>
      <c r="M162">
        <v>4</v>
      </c>
      <c r="N162" t="str" cm="1">
        <f t="array" ref="N162">_xlfn.IFS(AND(24&lt;=Table1[[#This Row],[Age]],Table1[[#This Row],[Age]]&lt;=30),"24-30",Table1[[#This Row],[Age]]&lt;=35,"31-35",Table1[[#This Row],[Age]]&lt;=40,"36-40",Table1[[#This Row],[Age]]&lt;=45,"41-45",Table1[[#This Row],[Age]]&lt;=50,"46-50",Table1[[#This Row],[Age]]&lt;=55,"51-55",Table1[[#This Row],[Age]]&lt;=60,"56-60",Table1[[#This Row],[Age]]&lt;=66,"61-66")</f>
        <v>46-50</v>
      </c>
      <c r="O162" t="s">
        <v>1074</v>
      </c>
      <c r="P162" t="str" cm="1">
        <f t="array" ref="P162">_xlfn.IFS(Table1[[#This Row],[Company Tenure]]&lt;=5,"1-5",Table1[[#This Row],[Company Tenure]]&lt;=10,"6-10",Table1[[#This Row],[Company Tenure]]&lt;=15,"11-15",Table1[[#This Row],[Company Tenure]]&lt;=20, "15-20",Table1[[#This Row],[Company Tenure]]&gt;20,"Above 20")</f>
        <v>15-20</v>
      </c>
    </row>
    <row r="163" spans="1:16" x14ac:dyDescent="0.25">
      <c r="A163" t="s">
        <v>416</v>
      </c>
      <c r="B163" t="s">
        <v>62</v>
      </c>
      <c r="C163" t="s">
        <v>799</v>
      </c>
      <c r="D163" t="s">
        <v>8</v>
      </c>
      <c r="E163">
        <v>44</v>
      </c>
      <c r="F163" t="s">
        <v>142</v>
      </c>
      <c r="G163" t="s">
        <v>44</v>
      </c>
      <c r="H163" s="2">
        <v>48315</v>
      </c>
      <c r="I163" s="1">
        <v>42872</v>
      </c>
      <c r="J163" s="3">
        <v>9</v>
      </c>
      <c r="K163" t="s">
        <v>417</v>
      </c>
      <c r="L163" t="s">
        <v>11</v>
      </c>
      <c r="M163">
        <v>3</v>
      </c>
      <c r="N163" t="str" cm="1">
        <f t="array" ref="N163">_xlfn.IFS(AND(24&lt;=Table1[[#This Row],[Age]],Table1[[#This Row],[Age]]&lt;=30),"24-30",Table1[[#This Row],[Age]]&lt;=35,"31-35",Table1[[#This Row],[Age]]&lt;=40,"36-40",Table1[[#This Row],[Age]]&lt;=45,"41-45",Table1[[#This Row],[Age]]&lt;=50,"46-50",Table1[[#This Row],[Age]]&lt;=55,"51-55",Table1[[#This Row],[Age]]&lt;=60,"56-60",Table1[[#This Row],[Age]]&lt;=66,"61-66")</f>
        <v>41-45</v>
      </c>
      <c r="O163" t="s">
        <v>1076</v>
      </c>
      <c r="P163" t="str" cm="1">
        <f t="array" ref="P163">_xlfn.IFS(Table1[[#This Row],[Company Tenure]]&lt;=5,"1-5",Table1[[#This Row],[Company Tenure]]&lt;=10,"6-10",Table1[[#This Row],[Company Tenure]]&lt;=15,"11-15",Table1[[#This Row],[Company Tenure]]&lt;=20, "15-20",Table1[[#This Row],[Company Tenure]]&gt;20,"Above 20")</f>
        <v>6-10</v>
      </c>
    </row>
    <row r="164" spans="1:16" x14ac:dyDescent="0.25">
      <c r="A164" t="s">
        <v>418</v>
      </c>
      <c r="B164" t="s">
        <v>6</v>
      </c>
      <c r="C164" t="s">
        <v>589</v>
      </c>
      <c r="D164" t="s">
        <v>23</v>
      </c>
      <c r="E164">
        <v>41</v>
      </c>
      <c r="F164" t="s">
        <v>1066</v>
      </c>
      <c r="G164" t="s">
        <v>37</v>
      </c>
      <c r="H164" s="2">
        <v>95461</v>
      </c>
      <c r="I164" s="1">
        <v>42813</v>
      </c>
      <c r="J164" s="3">
        <v>9</v>
      </c>
      <c r="K164" t="s">
        <v>419</v>
      </c>
      <c r="L164" t="s">
        <v>11</v>
      </c>
      <c r="M164">
        <v>3</v>
      </c>
      <c r="N164" t="str" cm="1">
        <f t="array" ref="N164">_xlfn.IFS(AND(24&lt;=Table1[[#This Row],[Age]],Table1[[#This Row],[Age]]&lt;=30),"24-30",Table1[[#This Row],[Age]]&lt;=35,"31-35",Table1[[#This Row],[Age]]&lt;=40,"36-40",Table1[[#This Row],[Age]]&lt;=45,"41-45",Table1[[#This Row],[Age]]&lt;=50,"46-50",Table1[[#This Row],[Age]]&lt;=55,"51-55",Table1[[#This Row],[Age]]&lt;=60,"56-60",Table1[[#This Row],[Age]]&lt;=66,"61-66")</f>
        <v>41-45</v>
      </c>
      <c r="O164" t="s">
        <v>1077</v>
      </c>
      <c r="P164" t="str" cm="1">
        <f t="array" ref="P164">_xlfn.IFS(Table1[[#This Row],[Company Tenure]]&lt;=5,"1-5",Table1[[#This Row],[Company Tenure]]&lt;=10,"6-10",Table1[[#This Row],[Company Tenure]]&lt;=15,"11-15",Table1[[#This Row],[Company Tenure]]&lt;=20, "15-20",Table1[[#This Row],[Company Tenure]]&gt;20,"Above 20")</f>
        <v>6-10</v>
      </c>
    </row>
    <row r="165" spans="1:16" x14ac:dyDescent="0.25">
      <c r="A165" t="s">
        <v>420</v>
      </c>
      <c r="B165" t="s">
        <v>451</v>
      </c>
      <c r="C165" t="s">
        <v>153</v>
      </c>
      <c r="D165" t="s">
        <v>8</v>
      </c>
      <c r="E165">
        <v>53</v>
      </c>
      <c r="F165" t="s">
        <v>32</v>
      </c>
      <c r="G165" t="s">
        <v>17</v>
      </c>
      <c r="H165" s="2">
        <v>81928</v>
      </c>
      <c r="I165" s="1">
        <v>38744</v>
      </c>
      <c r="J165" s="3">
        <v>20</v>
      </c>
      <c r="K165" t="s">
        <v>421</v>
      </c>
      <c r="L165" t="s">
        <v>65</v>
      </c>
      <c r="M165">
        <v>4</v>
      </c>
      <c r="N165" t="str" cm="1">
        <f t="array" ref="N165">_xlfn.IFS(AND(24&lt;=Table1[[#This Row],[Age]],Table1[[#This Row],[Age]]&lt;=30),"24-30",Table1[[#This Row],[Age]]&lt;=35,"31-35",Table1[[#This Row],[Age]]&lt;=40,"36-40",Table1[[#This Row],[Age]]&lt;=45,"41-45",Table1[[#This Row],[Age]]&lt;=50,"46-50",Table1[[#This Row],[Age]]&lt;=55,"51-55",Table1[[#This Row],[Age]]&lt;=60,"56-60",Table1[[#This Row],[Age]]&lt;=66,"61-66")</f>
        <v>51-55</v>
      </c>
      <c r="O165" t="s">
        <v>1077</v>
      </c>
      <c r="P165" t="str" cm="1">
        <f t="array" ref="P165">_xlfn.IFS(Table1[[#This Row],[Company Tenure]]&lt;=5,"1-5",Table1[[#This Row],[Company Tenure]]&lt;=10,"6-10",Table1[[#This Row],[Company Tenure]]&lt;=15,"11-15",Table1[[#This Row],[Company Tenure]]&lt;=20, "15-20",Table1[[#This Row],[Company Tenure]]&gt;20,"Above 20")</f>
        <v>15-20</v>
      </c>
    </row>
    <row r="166" spans="1:16" x14ac:dyDescent="0.25">
      <c r="A166" t="s">
        <v>422</v>
      </c>
      <c r="B166" t="s">
        <v>321</v>
      </c>
      <c r="C166" t="s">
        <v>402</v>
      </c>
      <c r="D166" t="s">
        <v>1</v>
      </c>
      <c r="E166">
        <v>44</v>
      </c>
      <c r="F166" t="s">
        <v>9</v>
      </c>
      <c r="G166" t="s">
        <v>44</v>
      </c>
      <c r="H166" s="2">
        <v>85578</v>
      </c>
      <c r="I166" s="1">
        <v>42433</v>
      </c>
      <c r="J166" s="3">
        <v>10</v>
      </c>
      <c r="K166" t="s">
        <v>423</v>
      </c>
      <c r="L166" t="s">
        <v>25</v>
      </c>
      <c r="M166">
        <v>4</v>
      </c>
      <c r="N166" t="str" cm="1">
        <f t="array" ref="N166">_xlfn.IFS(AND(24&lt;=Table1[[#This Row],[Age]],Table1[[#This Row],[Age]]&lt;=30),"24-30",Table1[[#This Row],[Age]]&lt;=35,"31-35",Table1[[#This Row],[Age]]&lt;=40,"36-40",Table1[[#This Row],[Age]]&lt;=45,"41-45",Table1[[#This Row],[Age]]&lt;=50,"46-50",Table1[[#This Row],[Age]]&lt;=55,"51-55",Table1[[#This Row],[Age]]&lt;=60,"56-60",Table1[[#This Row],[Age]]&lt;=66,"61-66")</f>
        <v>41-45</v>
      </c>
      <c r="O166" t="s">
        <v>1077</v>
      </c>
      <c r="P166" t="str" cm="1">
        <f t="array" ref="P166">_xlfn.IFS(Table1[[#This Row],[Company Tenure]]&lt;=5,"1-5",Table1[[#This Row],[Company Tenure]]&lt;=10,"6-10",Table1[[#This Row],[Company Tenure]]&lt;=15,"11-15",Table1[[#This Row],[Company Tenure]]&lt;=20, "15-20",Table1[[#This Row],[Company Tenure]]&gt;20,"Above 20")</f>
        <v>6-10</v>
      </c>
    </row>
    <row r="167" spans="1:16" x14ac:dyDescent="0.25">
      <c r="A167" t="s">
        <v>424</v>
      </c>
      <c r="B167" t="s">
        <v>43</v>
      </c>
      <c r="C167" t="s">
        <v>222</v>
      </c>
      <c r="D167" t="s">
        <v>1</v>
      </c>
      <c r="E167">
        <v>44</v>
      </c>
      <c r="F167" t="s">
        <v>203</v>
      </c>
      <c r="G167" t="s">
        <v>37</v>
      </c>
      <c r="H167" s="2">
        <v>66678</v>
      </c>
      <c r="I167" s="1">
        <v>40226</v>
      </c>
      <c r="J167" s="3">
        <v>16</v>
      </c>
      <c r="K167" t="s">
        <v>425</v>
      </c>
      <c r="L167" t="s">
        <v>49</v>
      </c>
      <c r="M167">
        <v>1</v>
      </c>
      <c r="N167" t="str" cm="1">
        <f t="array" ref="N167">_xlfn.IFS(AND(24&lt;=Table1[[#This Row],[Age]],Table1[[#This Row],[Age]]&lt;=30),"24-30",Table1[[#This Row],[Age]]&lt;=35,"31-35",Table1[[#This Row],[Age]]&lt;=40,"36-40",Table1[[#This Row],[Age]]&lt;=45,"41-45",Table1[[#This Row],[Age]]&lt;=50,"46-50",Table1[[#This Row],[Age]]&lt;=55,"51-55",Table1[[#This Row],[Age]]&lt;=60,"56-60",Table1[[#This Row],[Age]]&lt;=66,"61-66")</f>
        <v>41-45</v>
      </c>
      <c r="O167" t="s">
        <v>1077</v>
      </c>
      <c r="P167" t="str" cm="1">
        <f t="array" ref="P167">_xlfn.IFS(Table1[[#This Row],[Company Tenure]]&lt;=5,"1-5",Table1[[#This Row],[Company Tenure]]&lt;=10,"6-10",Table1[[#This Row],[Company Tenure]]&lt;=15,"11-15",Table1[[#This Row],[Company Tenure]]&lt;=20, "15-20",Table1[[#This Row],[Company Tenure]]&gt;20,"Above 20")</f>
        <v>15-20</v>
      </c>
    </row>
    <row r="168" spans="1:16" x14ac:dyDescent="0.25">
      <c r="A168" t="s">
        <v>426</v>
      </c>
      <c r="B168" t="s">
        <v>334</v>
      </c>
      <c r="C168" t="s">
        <v>427</v>
      </c>
      <c r="D168" t="s">
        <v>8</v>
      </c>
      <c r="E168">
        <v>54</v>
      </c>
      <c r="F168" t="s">
        <v>154</v>
      </c>
      <c r="G168" t="s">
        <v>2</v>
      </c>
      <c r="H168" s="2">
        <v>56462.46</v>
      </c>
      <c r="I168" s="1">
        <v>44198</v>
      </c>
      <c r="J168" s="3">
        <v>5</v>
      </c>
      <c r="K168" t="s">
        <v>428</v>
      </c>
      <c r="L168" t="s">
        <v>19</v>
      </c>
      <c r="M168">
        <v>3</v>
      </c>
      <c r="N168" t="str" cm="1">
        <f t="array" ref="N168">_xlfn.IFS(AND(24&lt;=Table1[[#This Row],[Age]],Table1[[#This Row],[Age]]&lt;=30),"24-30",Table1[[#This Row],[Age]]&lt;=35,"31-35",Table1[[#This Row],[Age]]&lt;=40,"36-40",Table1[[#This Row],[Age]]&lt;=45,"41-45",Table1[[#This Row],[Age]]&lt;=50,"46-50",Table1[[#This Row],[Age]]&lt;=55,"51-55",Table1[[#This Row],[Age]]&lt;=60,"56-60",Table1[[#This Row],[Age]]&lt;=66,"61-66")</f>
        <v>51-55</v>
      </c>
      <c r="O168" t="s">
        <v>1077</v>
      </c>
      <c r="P168" t="str" cm="1">
        <f t="array" ref="P168">_xlfn.IFS(Table1[[#This Row],[Company Tenure]]&lt;=5,"1-5",Table1[[#This Row],[Company Tenure]]&lt;=10,"6-10",Table1[[#This Row],[Company Tenure]]&lt;=15,"11-15",Table1[[#This Row],[Company Tenure]]&lt;=20, "15-20",Table1[[#This Row],[Company Tenure]]&gt;20,"Above 20")</f>
        <v>1-5</v>
      </c>
    </row>
    <row r="169" spans="1:16" x14ac:dyDescent="0.25">
      <c r="A169" t="s">
        <v>429</v>
      </c>
      <c r="B169" t="s">
        <v>6</v>
      </c>
      <c r="C169" t="s">
        <v>88</v>
      </c>
      <c r="D169" t="s">
        <v>8</v>
      </c>
      <c r="E169">
        <v>43</v>
      </c>
      <c r="F169" t="s">
        <v>142</v>
      </c>
      <c r="G169" t="s">
        <v>37</v>
      </c>
      <c r="H169" s="2">
        <v>70196</v>
      </c>
      <c r="I169" s="1">
        <v>40852</v>
      </c>
      <c r="J169" s="3">
        <v>14</v>
      </c>
      <c r="K169" t="s">
        <v>430</v>
      </c>
      <c r="L169" t="s">
        <v>39</v>
      </c>
      <c r="M169">
        <v>2</v>
      </c>
      <c r="N169" t="str" cm="1">
        <f t="array" ref="N169">_xlfn.IFS(AND(24&lt;=Table1[[#This Row],[Age]],Table1[[#This Row],[Age]]&lt;=30),"24-30",Table1[[#This Row],[Age]]&lt;=35,"31-35",Table1[[#This Row],[Age]]&lt;=40,"36-40",Table1[[#This Row],[Age]]&lt;=45,"41-45",Table1[[#This Row],[Age]]&lt;=50,"46-50",Table1[[#This Row],[Age]]&lt;=55,"51-55",Table1[[#This Row],[Age]]&lt;=60,"56-60",Table1[[#This Row],[Age]]&lt;=66,"61-66")</f>
        <v>41-45</v>
      </c>
      <c r="O169" t="s">
        <v>1077</v>
      </c>
      <c r="P169" t="str" cm="1">
        <f t="array" ref="P169">_xlfn.IFS(Table1[[#This Row],[Company Tenure]]&lt;=5,"1-5",Table1[[#This Row],[Company Tenure]]&lt;=10,"6-10",Table1[[#This Row],[Company Tenure]]&lt;=15,"11-15",Table1[[#This Row],[Company Tenure]]&lt;=20, "15-20",Table1[[#This Row],[Company Tenure]]&gt;20,"Above 20")</f>
        <v>11-15</v>
      </c>
    </row>
    <row r="170" spans="1:16" x14ac:dyDescent="0.25">
      <c r="A170" t="s">
        <v>431</v>
      </c>
      <c r="B170" t="s">
        <v>232</v>
      </c>
      <c r="C170" t="s">
        <v>962</v>
      </c>
      <c r="D170" t="s">
        <v>23</v>
      </c>
      <c r="E170">
        <v>39</v>
      </c>
      <c r="F170" t="s">
        <v>203</v>
      </c>
      <c r="G170" t="s">
        <v>17</v>
      </c>
      <c r="H170" s="2">
        <v>63411</v>
      </c>
      <c r="I170" s="1">
        <v>43245</v>
      </c>
      <c r="J170" s="3">
        <v>8</v>
      </c>
      <c r="K170" t="s">
        <v>432</v>
      </c>
      <c r="L170" t="s">
        <v>19</v>
      </c>
      <c r="M170">
        <v>4</v>
      </c>
      <c r="N170" t="str" cm="1">
        <f t="array" ref="N170">_xlfn.IFS(AND(24&lt;=Table1[[#This Row],[Age]],Table1[[#This Row],[Age]]&lt;=30),"24-30",Table1[[#This Row],[Age]]&lt;=35,"31-35",Table1[[#This Row],[Age]]&lt;=40,"36-40",Table1[[#This Row],[Age]]&lt;=45,"41-45",Table1[[#This Row],[Age]]&lt;=50,"46-50",Table1[[#This Row],[Age]]&lt;=55,"51-55",Table1[[#This Row],[Age]]&lt;=60,"56-60",Table1[[#This Row],[Age]]&lt;=66,"61-66")</f>
        <v>36-40</v>
      </c>
      <c r="O170" t="s">
        <v>1077</v>
      </c>
      <c r="P170" t="str" cm="1">
        <f t="array" ref="P170">_xlfn.IFS(Table1[[#This Row],[Company Tenure]]&lt;=5,"1-5",Table1[[#This Row],[Company Tenure]]&lt;=10,"6-10",Table1[[#This Row],[Company Tenure]]&lt;=15,"11-15",Table1[[#This Row],[Company Tenure]]&lt;=20, "15-20",Table1[[#This Row],[Company Tenure]]&gt;20,"Above 20")</f>
        <v>6-10</v>
      </c>
    </row>
    <row r="171" spans="1:16" x14ac:dyDescent="0.25">
      <c r="A171" t="s">
        <v>433</v>
      </c>
      <c r="B171" t="s">
        <v>316</v>
      </c>
      <c r="C171" t="s">
        <v>153</v>
      </c>
      <c r="D171" t="s">
        <v>8</v>
      </c>
      <c r="E171">
        <v>35</v>
      </c>
      <c r="F171" t="s">
        <v>32</v>
      </c>
      <c r="G171" t="s">
        <v>2</v>
      </c>
      <c r="H171" s="2">
        <v>119004</v>
      </c>
      <c r="I171" s="1">
        <v>44444</v>
      </c>
      <c r="J171" s="3">
        <v>5</v>
      </c>
      <c r="K171" t="s">
        <v>434</v>
      </c>
      <c r="L171" t="s">
        <v>14</v>
      </c>
      <c r="M171">
        <v>5</v>
      </c>
      <c r="N171" t="str" cm="1">
        <f t="array" ref="N171">_xlfn.IFS(AND(24&lt;=Table1[[#This Row],[Age]],Table1[[#This Row],[Age]]&lt;=30),"24-30",Table1[[#This Row],[Age]]&lt;=35,"31-35",Table1[[#This Row],[Age]]&lt;=40,"36-40",Table1[[#This Row],[Age]]&lt;=45,"41-45",Table1[[#This Row],[Age]]&lt;=50,"46-50",Table1[[#This Row],[Age]]&lt;=55,"51-55",Table1[[#This Row],[Age]]&lt;=60,"56-60",Table1[[#This Row],[Age]]&lt;=66,"61-66")</f>
        <v>31-35</v>
      </c>
      <c r="O171" t="s">
        <v>1074</v>
      </c>
      <c r="P171" t="str" cm="1">
        <f t="array" ref="P171">_xlfn.IFS(Table1[[#This Row],[Company Tenure]]&lt;=5,"1-5",Table1[[#This Row],[Company Tenure]]&lt;=10,"6-10",Table1[[#This Row],[Company Tenure]]&lt;=15,"11-15",Table1[[#This Row],[Company Tenure]]&lt;=20, "15-20",Table1[[#This Row],[Company Tenure]]&gt;20,"Above 20")</f>
        <v>1-5</v>
      </c>
    </row>
    <row r="172" spans="1:16" x14ac:dyDescent="0.25">
      <c r="A172" t="s">
        <v>435</v>
      </c>
      <c r="B172" t="s">
        <v>62</v>
      </c>
      <c r="C172" t="s">
        <v>166</v>
      </c>
      <c r="D172" t="s">
        <v>1</v>
      </c>
      <c r="E172">
        <v>36</v>
      </c>
      <c r="F172" t="s">
        <v>203</v>
      </c>
      <c r="G172" t="s">
        <v>17</v>
      </c>
      <c r="H172" s="2">
        <v>58009.35</v>
      </c>
      <c r="I172" s="1">
        <v>40789</v>
      </c>
      <c r="J172" s="3">
        <v>15</v>
      </c>
      <c r="K172" t="s">
        <v>436</v>
      </c>
      <c r="L172" t="s">
        <v>107</v>
      </c>
      <c r="M172">
        <v>3</v>
      </c>
      <c r="N172" t="str" cm="1">
        <f t="array" ref="N172">_xlfn.IFS(AND(24&lt;=Table1[[#This Row],[Age]],Table1[[#This Row],[Age]]&lt;=30),"24-30",Table1[[#This Row],[Age]]&lt;=35,"31-35",Table1[[#This Row],[Age]]&lt;=40,"36-40",Table1[[#This Row],[Age]]&lt;=45,"41-45",Table1[[#This Row],[Age]]&lt;=50,"46-50",Table1[[#This Row],[Age]]&lt;=55,"51-55",Table1[[#This Row],[Age]]&lt;=60,"56-60",Table1[[#This Row],[Age]]&lt;=66,"61-66")</f>
        <v>36-40</v>
      </c>
      <c r="O172" t="s">
        <v>1077</v>
      </c>
      <c r="P172" t="str" cm="1">
        <f t="array" ref="P172">_xlfn.IFS(Table1[[#This Row],[Company Tenure]]&lt;=5,"1-5",Table1[[#This Row],[Company Tenure]]&lt;=10,"6-10",Table1[[#This Row],[Company Tenure]]&lt;=15,"11-15",Table1[[#This Row],[Company Tenure]]&lt;=20, "15-20",Table1[[#This Row],[Company Tenure]]&gt;20,"Above 20")</f>
        <v>11-15</v>
      </c>
    </row>
    <row r="173" spans="1:16" x14ac:dyDescent="0.25">
      <c r="A173" t="s">
        <v>437</v>
      </c>
      <c r="B173" t="s">
        <v>184</v>
      </c>
      <c r="C173" t="s">
        <v>402</v>
      </c>
      <c r="D173" t="s">
        <v>23</v>
      </c>
      <c r="E173">
        <v>45</v>
      </c>
      <c r="F173" t="s">
        <v>142</v>
      </c>
      <c r="G173" t="s">
        <v>44</v>
      </c>
      <c r="H173" s="2">
        <v>55621</v>
      </c>
      <c r="I173" s="1">
        <v>40743</v>
      </c>
      <c r="J173" s="3">
        <v>15</v>
      </c>
      <c r="K173" t="s">
        <v>438</v>
      </c>
      <c r="L173" t="s">
        <v>65</v>
      </c>
      <c r="M173">
        <v>3</v>
      </c>
      <c r="N173" t="str" cm="1">
        <f t="array" ref="N173">_xlfn.IFS(AND(24&lt;=Table1[[#This Row],[Age]],Table1[[#This Row],[Age]]&lt;=30),"24-30",Table1[[#This Row],[Age]]&lt;=35,"31-35",Table1[[#This Row],[Age]]&lt;=40,"36-40",Table1[[#This Row],[Age]]&lt;=45,"41-45",Table1[[#This Row],[Age]]&lt;=50,"46-50",Table1[[#This Row],[Age]]&lt;=55,"51-55",Table1[[#This Row],[Age]]&lt;=60,"56-60",Table1[[#This Row],[Age]]&lt;=66,"61-66")</f>
        <v>41-45</v>
      </c>
      <c r="O173" t="s">
        <v>1077</v>
      </c>
      <c r="P173" t="str" cm="1">
        <f t="array" ref="P173">_xlfn.IFS(Table1[[#This Row],[Company Tenure]]&lt;=5,"1-5",Table1[[#This Row],[Company Tenure]]&lt;=10,"6-10",Table1[[#This Row],[Company Tenure]]&lt;=15,"11-15",Table1[[#This Row],[Company Tenure]]&lt;=20, "15-20",Table1[[#This Row],[Company Tenure]]&gt;20,"Above 20")</f>
        <v>11-15</v>
      </c>
    </row>
    <row r="174" spans="1:16" x14ac:dyDescent="0.25">
      <c r="A174" t="s">
        <v>439</v>
      </c>
      <c r="B174" t="s">
        <v>184</v>
      </c>
      <c r="C174" t="s">
        <v>589</v>
      </c>
      <c r="D174" t="s">
        <v>1</v>
      </c>
      <c r="E174">
        <v>39</v>
      </c>
      <c r="F174" t="s">
        <v>32</v>
      </c>
      <c r="G174" t="s">
        <v>37</v>
      </c>
      <c r="H174" s="2">
        <v>89984.41</v>
      </c>
      <c r="I174" s="1">
        <v>45160</v>
      </c>
      <c r="J174" s="3">
        <v>3</v>
      </c>
      <c r="K174" t="s">
        <v>440</v>
      </c>
      <c r="L174" t="s">
        <v>85</v>
      </c>
      <c r="M174">
        <v>3</v>
      </c>
      <c r="N174" t="str" cm="1">
        <f t="array" ref="N174">_xlfn.IFS(AND(24&lt;=Table1[[#This Row],[Age]],Table1[[#This Row],[Age]]&lt;=30),"24-30",Table1[[#This Row],[Age]]&lt;=35,"31-35",Table1[[#This Row],[Age]]&lt;=40,"36-40",Table1[[#This Row],[Age]]&lt;=45,"41-45",Table1[[#This Row],[Age]]&lt;=50,"46-50",Table1[[#This Row],[Age]]&lt;=55,"51-55",Table1[[#This Row],[Age]]&lt;=60,"56-60",Table1[[#This Row],[Age]]&lt;=66,"61-66")</f>
        <v>36-40</v>
      </c>
      <c r="O174" t="s">
        <v>1077</v>
      </c>
      <c r="P174" t="str" cm="1">
        <f t="array" ref="P174">_xlfn.IFS(Table1[[#This Row],[Company Tenure]]&lt;=5,"1-5",Table1[[#This Row],[Company Tenure]]&lt;=10,"6-10",Table1[[#This Row],[Company Tenure]]&lt;=15,"11-15",Table1[[#This Row],[Company Tenure]]&lt;=20, "15-20",Table1[[#This Row],[Company Tenure]]&gt;20,"Above 20")</f>
        <v>1-5</v>
      </c>
    </row>
    <row r="175" spans="1:16" x14ac:dyDescent="0.25">
      <c r="A175" t="s">
        <v>441</v>
      </c>
      <c r="B175" t="s">
        <v>184</v>
      </c>
      <c r="C175" t="s">
        <v>427</v>
      </c>
      <c r="D175" t="s">
        <v>1</v>
      </c>
      <c r="E175">
        <v>51</v>
      </c>
      <c r="F175" t="s">
        <v>313</v>
      </c>
      <c r="G175" t="s">
        <v>44</v>
      </c>
      <c r="H175" s="2">
        <v>89574.81</v>
      </c>
      <c r="I175" s="1">
        <v>38773</v>
      </c>
      <c r="J175" s="3">
        <v>20</v>
      </c>
      <c r="K175" t="s">
        <v>185</v>
      </c>
      <c r="L175" t="s">
        <v>14</v>
      </c>
      <c r="M175">
        <v>3</v>
      </c>
      <c r="N175" t="str" cm="1">
        <f t="array" ref="N175">_xlfn.IFS(AND(24&lt;=Table1[[#This Row],[Age]],Table1[[#This Row],[Age]]&lt;=30),"24-30",Table1[[#This Row],[Age]]&lt;=35,"31-35",Table1[[#This Row],[Age]]&lt;=40,"36-40",Table1[[#This Row],[Age]]&lt;=45,"41-45",Table1[[#This Row],[Age]]&lt;=50,"46-50",Table1[[#This Row],[Age]]&lt;=55,"51-55",Table1[[#This Row],[Age]]&lt;=60,"56-60",Table1[[#This Row],[Age]]&lt;=66,"61-66")</f>
        <v>51-55</v>
      </c>
      <c r="O175" t="s">
        <v>1077</v>
      </c>
      <c r="P175" t="str" cm="1">
        <f t="array" ref="P175">_xlfn.IFS(Table1[[#This Row],[Company Tenure]]&lt;=5,"1-5",Table1[[#This Row],[Company Tenure]]&lt;=10,"6-10",Table1[[#This Row],[Company Tenure]]&lt;=15,"11-15",Table1[[#This Row],[Company Tenure]]&lt;=20, "15-20",Table1[[#This Row],[Company Tenure]]&gt;20,"Above 20")</f>
        <v>15-20</v>
      </c>
    </row>
    <row r="176" spans="1:16" x14ac:dyDescent="0.25">
      <c r="A176" t="s">
        <v>442</v>
      </c>
      <c r="B176" t="s">
        <v>79</v>
      </c>
      <c r="C176" t="s">
        <v>31</v>
      </c>
      <c r="D176" t="s">
        <v>23</v>
      </c>
      <c r="E176">
        <v>35</v>
      </c>
      <c r="F176" t="s">
        <v>181</v>
      </c>
      <c r="G176" t="s">
        <v>44</v>
      </c>
      <c r="H176" s="2">
        <v>56583</v>
      </c>
      <c r="I176" s="1">
        <v>43383</v>
      </c>
      <c r="J176" s="3">
        <v>8</v>
      </c>
      <c r="K176" t="s">
        <v>443</v>
      </c>
      <c r="L176" t="s">
        <v>19</v>
      </c>
      <c r="M176">
        <v>4</v>
      </c>
      <c r="N176" t="str" cm="1">
        <f t="array" ref="N176">_xlfn.IFS(AND(24&lt;=Table1[[#This Row],[Age]],Table1[[#This Row],[Age]]&lt;=30),"24-30",Table1[[#This Row],[Age]]&lt;=35,"31-35",Table1[[#This Row],[Age]]&lt;=40,"36-40",Table1[[#This Row],[Age]]&lt;=45,"41-45",Table1[[#This Row],[Age]]&lt;=50,"46-50",Table1[[#This Row],[Age]]&lt;=55,"51-55",Table1[[#This Row],[Age]]&lt;=60,"56-60",Table1[[#This Row],[Age]]&lt;=66,"61-66")</f>
        <v>31-35</v>
      </c>
      <c r="O176" t="s">
        <v>1077</v>
      </c>
      <c r="P176" t="str" cm="1">
        <f t="array" ref="P176">_xlfn.IFS(Table1[[#This Row],[Company Tenure]]&lt;=5,"1-5",Table1[[#This Row],[Company Tenure]]&lt;=10,"6-10",Table1[[#This Row],[Company Tenure]]&lt;=15,"11-15",Table1[[#This Row],[Company Tenure]]&lt;=20, "15-20",Table1[[#This Row],[Company Tenure]]&gt;20,"Above 20")</f>
        <v>6-10</v>
      </c>
    </row>
    <row r="177" spans="1:16" x14ac:dyDescent="0.25">
      <c r="A177" t="s">
        <v>444</v>
      </c>
      <c r="B177" t="s">
        <v>633</v>
      </c>
      <c r="C177" t="s">
        <v>76</v>
      </c>
      <c r="D177" t="s">
        <v>8</v>
      </c>
      <c r="E177">
        <v>38</v>
      </c>
      <c r="F177" t="s">
        <v>133</v>
      </c>
      <c r="G177" t="s">
        <v>161</v>
      </c>
      <c r="H177" s="2">
        <v>126007</v>
      </c>
      <c r="I177" s="1">
        <v>39869</v>
      </c>
      <c r="J177" s="3">
        <v>17</v>
      </c>
      <c r="K177" t="s">
        <v>445</v>
      </c>
      <c r="L177" t="s">
        <v>4</v>
      </c>
      <c r="M177">
        <v>3</v>
      </c>
      <c r="N177" t="str" cm="1">
        <f t="array" ref="N177">_xlfn.IFS(AND(24&lt;=Table1[[#This Row],[Age]],Table1[[#This Row],[Age]]&lt;=30),"24-30",Table1[[#This Row],[Age]]&lt;=35,"31-35",Table1[[#This Row],[Age]]&lt;=40,"36-40",Table1[[#This Row],[Age]]&lt;=45,"41-45",Table1[[#This Row],[Age]]&lt;=50,"46-50",Table1[[#This Row],[Age]]&lt;=55,"51-55",Table1[[#This Row],[Age]]&lt;=60,"56-60",Table1[[#This Row],[Age]]&lt;=66,"61-66")</f>
        <v>36-40</v>
      </c>
      <c r="O177" t="s">
        <v>1074</v>
      </c>
      <c r="P177" t="str" cm="1">
        <f t="array" ref="P177">_xlfn.IFS(Table1[[#This Row],[Company Tenure]]&lt;=5,"1-5",Table1[[#This Row],[Company Tenure]]&lt;=10,"6-10",Table1[[#This Row],[Company Tenure]]&lt;=15,"11-15",Table1[[#This Row],[Company Tenure]]&lt;=20, "15-20",Table1[[#This Row],[Company Tenure]]&gt;20,"Above 20")</f>
        <v>15-20</v>
      </c>
    </row>
    <row r="178" spans="1:16" x14ac:dyDescent="0.25">
      <c r="A178" t="s">
        <v>446</v>
      </c>
      <c r="B178" t="s">
        <v>282</v>
      </c>
      <c r="C178" t="s">
        <v>76</v>
      </c>
      <c r="D178" t="s">
        <v>8</v>
      </c>
      <c r="E178">
        <v>32</v>
      </c>
      <c r="F178" t="s">
        <v>32</v>
      </c>
      <c r="G178" t="s">
        <v>17</v>
      </c>
      <c r="H178" s="2">
        <v>78114</v>
      </c>
      <c r="I178" s="1">
        <v>44491</v>
      </c>
      <c r="J178" s="3">
        <v>4</v>
      </c>
      <c r="K178" t="s">
        <v>447</v>
      </c>
      <c r="L178" t="s">
        <v>65</v>
      </c>
      <c r="M178">
        <v>3</v>
      </c>
      <c r="N178" t="str" cm="1">
        <f t="array" ref="N178">_xlfn.IFS(AND(24&lt;=Table1[[#This Row],[Age]],Table1[[#This Row],[Age]]&lt;=30),"24-30",Table1[[#This Row],[Age]]&lt;=35,"31-35",Table1[[#This Row],[Age]]&lt;=40,"36-40",Table1[[#This Row],[Age]]&lt;=45,"41-45",Table1[[#This Row],[Age]]&lt;=50,"46-50",Table1[[#This Row],[Age]]&lt;=55,"51-55",Table1[[#This Row],[Age]]&lt;=60,"56-60",Table1[[#This Row],[Age]]&lt;=66,"61-66")</f>
        <v>31-35</v>
      </c>
      <c r="O178" t="s">
        <v>1077</v>
      </c>
      <c r="P178" t="str" cm="1">
        <f t="array" ref="P178">_xlfn.IFS(Table1[[#This Row],[Company Tenure]]&lt;=5,"1-5",Table1[[#This Row],[Company Tenure]]&lt;=10,"6-10",Table1[[#This Row],[Company Tenure]]&lt;=15,"11-15",Table1[[#This Row],[Company Tenure]]&lt;=20, "15-20",Table1[[#This Row],[Company Tenure]]&gt;20,"Above 20")</f>
        <v>1-5</v>
      </c>
    </row>
    <row r="179" spans="1:16" x14ac:dyDescent="0.25">
      <c r="A179" t="s">
        <v>448</v>
      </c>
      <c r="B179" t="s">
        <v>321</v>
      </c>
      <c r="C179" t="s">
        <v>16</v>
      </c>
      <c r="D179" t="s">
        <v>8</v>
      </c>
      <c r="E179">
        <v>48</v>
      </c>
      <c r="F179" t="s">
        <v>181</v>
      </c>
      <c r="G179" t="s">
        <v>105</v>
      </c>
      <c r="H179" s="2">
        <v>93583</v>
      </c>
      <c r="I179" s="1">
        <v>45367</v>
      </c>
      <c r="J179" s="3">
        <v>2</v>
      </c>
      <c r="K179" t="s">
        <v>449</v>
      </c>
      <c r="L179" t="s">
        <v>49</v>
      </c>
      <c r="M179">
        <v>4</v>
      </c>
      <c r="N179" t="str" cm="1">
        <f t="array" ref="N179">_xlfn.IFS(AND(24&lt;=Table1[[#This Row],[Age]],Table1[[#This Row],[Age]]&lt;=30),"24-30",Table1[[#This Row],[Age]]&lt;=35,"31-35",Table1[[#This Row],[Age]]&lt;=40,"36-40",Table1[[#This Row],[Age]]&lt;=45,"41-45",Table1[[#This Row],[Age]]&lt;=50,"46-50",Table1[[#This Row],[Age]]&lt;=55,"51-55",Table1[[#This Row],[Age]]&lt;=60,"56-60",Table1[[#This Row],[Age]]&lt;=66,"61-66")</f>
        <v>46-50</v>
      </c>
      <c r="O179" t="s">
        <v>1077</v>
      </c>
      <c r="P179" t="str" cm="1">
        <f t="array" ref="P179">_xlfn.IFS(Table1[[#This Row],[Company Tenure]]&lt;=5,"1-5",Table1[[#This Row],[Company Tenure]]&lt;=10,"6-10",Table1[[#This Row],[Company Tenure]]&lt;=15,"11-15",Table1[[#This Row],[Company Tenure]]&lt;=20, "15-20",Table1[[#This Row],[Company Tenure]]&gt;20,"Above 20")</f>
        <v>1-5</v>
      </c>
    </row>
    <row r="180" spans="1:16" x14ac:dyDescent="0.25">
      <c r="A180" t="s">
        <v>450</v>
      </c>
      <c r="B180" t="s">
        <v>451</v>
      </c>
      <c r="C180" t="s">
        <v>452</v>
      </c>
      <c r="D180" t="s">
        <v>1</v>
      </c>
      <c r="E180">
        <v>33</v>
      </c>
      <c r="F180" t="s">
        <v>295</v>
      </c>
      <c r="G180" t="s">
        <v>63</v>
      </c>
      <c r="H180" s="2">
        <v>77770.5</v>
      </c>
      <c r="I180" s="1">
        <v>42365</v>
      </c>
      <c r="J180" s="3">
        <v>10</v>
      </c>
      <c r="K180" t="s">
        <v>453</v>
      </c>
      <c r="L180" t="s">
        <v>11</v>
      </c>
      <c r="M180">
        <v>4</v>
      </c>
      <c r="N180" t="str" cm="1">
        <f t="array" ref="N180">_xlfn.IFS(AND(24&lt;=Table1[[#This Row],[Age]],Table1[[#This Row],[Age]]&lt;=30),"24-30",Table1[[#This Row],[Age]]&lt;=35,"31-35",Table1[[#This Row],[Age]]&lt;=40,"36-40",Table1[[#This Row],[Age]]&lt;=45,"41-45",Table1[[#This Row],[Age]]&lt;=50,"46-50",Table1[[#This Row],[Age]]&lt;=55,"51-55",Table1[[#This Row],[Age]]&lt;=60,"56-60",Table1[[#This Row],[Age]]&lt;=66,"61-66")</f>
        <v>31-35</v>
      </c>
      <c r="O180" t="s">
        <v>1077</v>
      </c>
      <c r="P180" t="str" cm="1">
        <f t="array" ref="P180">_xlfn.IFS(Table1[[#This Row],[Company Tenure]]&lt;=5,"1-5",Table1[[#This Row],[Company Tenure]]&lt;=10,"6-10",Table1[[#This Row],[Company Tenure]]&lt;=15,"11-15",Table1[[#This Row],[Company Tenure]]&lt;=20, "15-20",Table1[[#This Row],[Company Tenure]]&gt;20,"Above 20")</f>
        <v>6-10</v>
      </c>
    </row>
    <row r="181" spans="1:16" x14ac:dyDescent="0.25">
      <c r="A181" t="s">
        <v>454</v>
      </c>
      <c r="B181" t="s">
        <v>43</v>
      </c>
      <c r="C181" t="s">
        <v>31</v>
      </c>
      <c r="D181" t="s">
        <v>8</v>
      </c>
      <c r="E181">
        <v>37</v>
      </c>
      <c r="F181" t="s">
        <v>181</v>
      </c>
      <c r="G181" t="s">
        <v>17</v>
      </c>
      <c r="H181" s="2">
        <v>50691</v>
      </c>
      <c r="I181" s="1">
        <v>41974</v>
      </c>
      <c r="J181" s="3">
        <v>11</v>
      </c>
      <c r="K181" t="s">
        <v>455</v>
      </c>
      <c r="L181" t="s">
        <v>207</v>
      </c>
      <c r="M181">
        <v>3</v>
      </c>
      <c r="N181" t="str" cm="1">
        <f t="array" ref="N181">_xlfn.IFS(AND(24&lt;=Table1[[#This Row],[Age]],Table1[[#This Row],[Age]]&lt;=30),"24-30",Table1[[#This Row],[Age]]&lt;=35,"31-35",Table1[[#This Row],[Age]]&lt;=40,"36-40",Table1[[#This Row],[Age]]&lt;=45,"41-45",Table1[[#This Row],[Age]]&lt;=50,"46-50",Table1[[#This Row],[Age]]&lt;=55,"51-55",Table1[[#This Row],[Age]]&lt;=60,"56-60",Table1[[#This Row],[Age]]&lt;=66,"61-66")</f>
        <v>36-40</v>
      </c>
      <c r="O181" t="s">
        <v>1077</v>
      </c>
      <c r="P181" t="str" cm="1">
        <f t="array" ref="P181">_xlfn.IFS(Table1[[#This Row],[Company Tenure]]&lt;=5,"1-5",Table1[[#This Row],[Company Tenure]]&lt;=10,"6-10",Table1[[#This Row],[Company Tenure]]&lt;=15,"11-15",Table1[[#This Row],[Company Tenure]]&lt;=20, "15-20",Table1[[#This Row],[Company Tenure]]&gt;20,"Above 20")</f>
        <v>11-15</v>
      </c>
    </row>
    <row r="182" spans="1:16" x14ac:dyDescent="0.25">
      <c r="A182" t="s">
        <v>456</v>
      </c>
      <c r="B182" t="s">
        <v>282</v>
      </c>
      <c r="C182" t="s">
        <v>291</v>
      </c>
      <c r="D182" t="s">
        <v>8</v>
      </c>
      <c r="E182">
        <v>31</v>
      </c>
      <c r="F182" t="s">
        <v>295</v>
      </c>
      <c r="G182" t="s">
        <v>161</v>
      </c>
      <c r="H182" s="2">
        <v>156871</v>
      </c>
      <c r="I182" s="1">
        <v>42352</v>
      </c>
      <c r="J182" s="3">
        <v>10</v>
      </c>
      <c r="K182" t="s">
        <v>457</v>
      </c>
      <c r="L182" t="s">
        <v>120</v>
      </c>
      <c r="M182">
        <v>1</v>
      </c>
      <c r="N182" t="str" cm="1">
        <f t="array" ref="N182">_xlfn.IFS(AND(24&lt;=Table1[[#This Row],[Age]],Table1[[#This Row],[Age]]&lt;=30),"24-30",Table1[[#This Row],[Age]]&lt;=35,"31-35",Table1[[#This Row],[Age]]&lt;=40,"36-40",Table1[[#This Row],[Age]]&lt;=45,"41-45",Table1[[#This Row],[Age]]&lt;=50,"46-50",Table1[[#This Row],[Age]]&lt;=55,"51-55",Table1[[#This Row],[Age]]&lt;=60,"56-60",Table1[[#This Row],[Age]]&lt;=66,"61-66")</f>
        <v>31-35</v>
      </c>
      <c r="O182" t="s">
        <v>1078</v>
      </c>
      <c r="P182" t="str" cm="1">
        <f t="array" ref="P182">_xlfn.IFS(Table1[[#This Row],[Company Tenure]]&lt;=5,"1-5",Table1[[#This Row],[Company Tenure]]&lt;=10,"6-10",Table1[[#This Row],[Company Tenure]]&lt;=15,"11-15",Table1[[#This Row],[Company Tenure]]&lt;=20, "15-20",Table1[[#This Row],[Company Tenure]]&gt;20,"Above 20")</f>
        <v>6-10</v>
      </c>
    </row>
    <row r="183" spans="1:16" x14ac:dyDescent="0.25">
      <c r="A183" t="s">
        <v>458</v>
      </c>
      <c r="B183" t="s">
        <v>184</v>
      </c>
      <c r="C183" t="s">
        <v>153</v>
      </c>
      <c r="D183" t="s">
        <v>8</v>
      </c>
      <c r="E183">
        <v>44</v>
      </c>
      <c r="F183" t="s">
        <v>1066</v>
      </c>
      <c r="G183" t="s">
        <v>17</v>
      </c>
      <c r="H183" s="2">
        <v>45611</v>
      </c>
      <c r="I183" s="1">
        <v>40822</v>
      </c>
      <c r="J183" s="3">
        <v>15</v>
      </c>
      <c r="K183" t="s">
        <v>459</v>
      </c>
      <c r="L183" t="s">
        <v>54</v>
      </c>
      <c r="M183">
        <v>4</v>
      </c>
      <c r="N183" t="str" cm="1">
        <f t="array" ref="N183">_xlfn.IFS(AND(24&lt;=Table1[[#This Row],[Age]],Table1[[#This Row],[Age]]&lt;=30),"24-30",Table1[[#This Row],[Age]]&lt;=35,"31-35",Table1[[#This Row],[Age]]&lt;=40,"36-40",Table1[[#This Row],[Age]]&lt;=45,"41-45",Table1[[#This Row],[Age]]&lt;=50,"46-50",Table1[[#This Row],[Age]]&lt;=55,"51-55",Table1[[#This Row],[Age]]&lt;=60,"56-60",Table1[[#This Row],[Age]]&lt;=66,"61-66")</f>
        <v>41-45</v>
      </c>
      <c r="O183" t="s">
        <v>1076</v>
      </c>
      <c r="P183" t="str" cm="1">
        <f t="array" ref="P183">_xlfn.IFS(Table1[[#This Row],[Company Tenure]]&lt;=5,"1-5",Table1[[#This Row],[Company Tenure]]&lt;=10,"6-10",Table1[[#This Row],[Company Tenure]]&lt;=15,"11-15",Table1[[#This Row],[Company Tenure]]&lt;=20, "15-20",Table1[[#This Row],[Company Tenure]]&gt;20,"Above 20")</f>
        <v>11-15</v>
      </c>
    </row>
    <row r="184" spans="1:16" x14ac:dyDescent="0.25">
      <c r="A184" t="s">
        <v>460</v>
      </c>
      <c r="B184" t="s">
        <v>94</v>
      </c>
      <c r="C184" t="s">
        <v>104</v>
      </c>
      <c r="D184" t="s">
        <v>1</v>
      </c>
      <c r="E184">
        <v>46</v>
      </c>
      <c r="F184" t="s">
        <v>203</v>
      </c>
      <c r="G184" t="s">
        <v>100</v>
      </c>
      <c r="H184" s="2">
        <v>40920</v>
      </c>
      <c r="I184" s="1">
        <v>39833</v>
      </c>
      <c r="J184" s="3">
        <v>17</v>
      </c>
      <c r="K184" t="s">
        <v>461</v>
      </c>
      <c r="L184" t="s">
        <v>28</v>
      </c>
      <c r="M184">
        <v>4</v>
      </c>
      <c r="N184" t="str" cm="1">
        <f t="array" ref="N184">_xlfn.IFS(AND(24&lt;=Table1[[#This Row],[Age]],Table1[[#This Row],[Age]]&lt;=30),"24-30",Table1[[#This Row],[Age]]&lt;=35,"31-35",Table1[[#This Row],[Age]]&lt;=40,"36-40",Table1[[#This Row],[Age]]&lt;=45,"41-45",Table1[[#This Row],[Age]]&lt;=50,"46-50",Table1[[#This Row],[Age]]&lt;=55,"51-55",Table1[[#This Row],[Age]]&lt;=60,"56-60",Table1[[#This Row],[Age]]&lt;=66,"61-66")</f>
        <v>46-50</v>
      </c>
      <c r="O184" t="s">
        <v>1076</v>
      </c>
      <c r="P184" t="str" cm="1">
        <f t="array" ref="P184">_xlfn.IFS(Table1[[#This Row],[Company Tenure]]&lt;=5,"1-5",Table1[[#This Row],[Company Tenure]]&lt;=10,"6-10",Table1[[#This Row],[Company Tenure]]&lt;=15,"11-15",Table1[[#This Row],[Company Tenure]]&lt;=20, "15-20",Table1[[#This Row],[Company Tenure]]&gt;20,"Above 20")</f>
        <v>15-20</v>
      </c>
    </row>
    <row r="185" spans="1:16" x14ac:dyDescent="0.25">
      <c r="A185" t="s">
        <v>462</v>
      </c>
      <c r="B185" t="s">
        <v>229</v>
      </c>
      <c r="C185" t="s">
        <v>291</v>
      </c>
      <c r="D185" t="s">
        <v>23</v>
      </c>
      <c r="E185">
        <v>43</v>
      </c>
      <c r="F185" t="s">
        <v>313</v>
      </c>
      <c r="G185" t="s">
        <v>17</v>
      </c>
      <c r="H185" s="2">
        <v>97204.87</v>
      </c>
      <c r="I185" s="1">
        <v>40412</v>
      </c>
      <c r="J185" s="3">
        <v>16</v>
      </c>
      <c r="K185" t="s">
        <v>463</v>
      </c>
      <c r="L185" t="s">
        <v>19</v>
      </c>
      <c r="M185">
        <v>2</v>
      </c>
      <c r="N185" t="str" cm="1">
        <f t="array" ref="N185">_xlfn.IFS(AND(24&lt;=Table1[[#This Row],[Age]],Table1[[#This Row],[Age]]&lt;=30),"24-30",Table1[[#This Row],[Age]]&lt;=35,"31-35",Table1[[#This Row],[Age]]&lt;=40,"36-40",Table1[[#This Row],[Age]]&lt;=45,"41-45",Table1[[#This Row],[Age]]&lt;=50,"46-50",Table1[[#This Row],[Age]]&lt;=55,"51-55",Table1[[#This Row],[Age]]&lt;=60,"56-60",Table1[[#This Row],[Age]]&lt;=66,"61-66")</f>
        <v>41-45</v>
      </c>
      <c r="O185" t="s">
        <v>1077</v>
      </c>
      <c r="P185" t="str" cm="1">
        <f t="array" ref="P185">_xlfn.IFS(Table1[[#This Row],[Company Tenure]]&lt;=5,"1-5",Table1[[#This Row],[Company Tenure]]&lt;=10,"6-10",Table1[[#This Row],[Company Tenure]]&lt;=15,"11-15",Table1[[#This Row],[Company Tenure]]&lt;=20, "15-20",Table1[[#This Row],[Company Tenure]]&gt;20,"Above 20")</f>
        <v>15-20</v>
      </c>
    </row>
    <row r="186" spans="1:16" x14ac:dyDescent="0.25">
      <c r="A186" t="s">
        <v>464</v>
      </c>
      <c r="B186" t="s">
        <v>229</v>
      </c>
      <c r="C186" t="s">
        <v>22</v>
      </c>
      <c r="D186" t="s">
        <v>1</v>
      </c>
      <c r="E186">
        <v>38</v>
      </c>
      <c r="F186" t="s">
        <v>295</v>
      </c>
      <c r="G186" t="s">
        <v>17</v>
      </c>
      <c r="H186" s="2">
        <v>75247</v>
      </c>
      <c r="I186" s="1">
        <v>42970</v>
      </c>
      <c r="J186" s="3">
        <v>9</v>
      </c>
      <c r="K186" t="s">
        <v>465</v>
      </c>
      <c r="L186" t="s">
        <v>54</v>
      </c>
      <c r="M186">
        <v>3</v>
      </c>
      <c r="N186" t="str" cm="1">
        <f t="array" ref="N186">_xlfn.IFS(AND(24&lt;=Table1[[#This Row],[Age]],Table1[[#This Row],[Age]]&lt;=30),"24-30",Table1[[#This Row],[Age]]&lt;=35,"31-35",Table1[[#This Row],[Age]]&lt;=40,"36-40",Table1[[#This Row],[Age]]&lt;=45,"41-45",Table1[[#This Row],[Age]]&lt;=50,"46-50",Table1[[#This Row],[Age]]&lt;=55,"51-55",Table1[[#This Row],[Age]]&lt;=60,"56-60",Table1[[#This Row],[Age]]&lt;=66,"61-66")</f>
        <v>36-40</v>
      </c>
      <c r="O186" t="s">
        <v>1077</v>
      </c>
      <c r="P186" t="str" cm="1">
        <f t="array" ref="P186">_xlfn.IFS(Table1[[#This Row],[Company Tenure]]&lt;=5,"1-5",Table1[[#This Row],[Company Tenure]]&lt;=10,"6-10",Table1[[#This Row],[Company Tenure]]&lt;=15,"11-15",Table1[[#This Row],[Company Tenure]]&lt;=20, "15-20",Table1[[#This Row],[Company Tenure]]&gt;20,"Above 20")</f>
        <v>6-10</v>
      </c>
    </row>
    <row r="187" spans="1:16" x14ac:dyDescent="0.25">
      <c r="A187" t="s">
        <v>466</v>
      </c>
      <c r="B187" t="s">
        <v>132</v>
      </c>
      <c r="C187" t="s">
        <v>375</v>
      </c>
      <c r="D187" t="s">
        <v>8</v>
      </c>
      <c r="E187">
        <v>41</v>
      </c>
      <c r="F187" t="s">
        <v>36</v>
      </c>
      <c r="G187" t="s">
        <v>44</v>
      </c>
      <c r="H187" s="2">
        <v>61835</v>
      </c>
      <c r="I187" s="1">
        <v>41111</v>
      </c>
      <c r="J187" s="3">
        <v>14</v>
      </c>
      <c r="K187" t="s">
        <v>467</v>
      </c>
      <c r="L187" t="s">
        <v>28</v>
      </c>
      <c r="M187">
        <v>5</v>
      </c>
      <c r="N187" t="str" cm="1">
        <f t="array" ref="N187">_xlfn.IFS(AND(24&lt;=Table1[[#This Row],[Age]],Table1[[#This Row],[Age]]&lt;=30),"24-30",Table1[[#This Row],[Age]]&lt;=35,"31-35",Table1[[#This Row],[Age]]&lt;=40,"36-40",Table1[[#This Row],[Age]]&lt;=45,"41-45",Table1[[#This Row],[Age]]&lt;=50,"46-50",Table1[[#This Row],[Age]]&lt;=55,"51-55",Table1[[#This Row],[Age]]&lt;=60,"56-60",Table1[[#This Row],[Age]]&lt;=66,"61-66")</f>
        <v>41-45</v>
      </c>
      <c r="O187" t="s">
        <v>1077</v>
      </c>
      <c r="P187" t="str" cm="1">
        <f t="array" ref="P187">_xlfn.IFS(Table1[[#This Row],[Company Tenure]]&lt;=5,"1-5",Table1[[#This Row],[Company Tenure]]&lt;=10,"6-10",Table1[[#This Row],[Company Tenure]]&lt;=15,"11-15",Table1[[#This Row],[Company Tenure]]&lt;=20, "15-20",Table1[[#This Row],[Company Tenure]]&gt;20,"Above 20")</f>
        <v>11-15</v>
      </c>
    </row>
    <row r="188" spans="1:16" x14ac:dyDescent="0.25">
      <c r="A188" t="s">
        <v>468</v>
      </c>
      <c r="B188" t="s">
        <v>469</v>
      </c>
      <c r="C188" t="s">
        <v>291</v>
      </c>
      <c r="D188" t="s">
        <v>23</v>
      </c>
      <c r="E188">
        <v>32</v>
      </c>
      <c r="F188" t="s">
        <v>295</v>
      </c>
      <c r="G188" t="s">
        <v>44</v>
      </c>
      <c r="H188" s="2">
        <v>65732</v>
      </c>
      <c r="I188" s="1">
        <v>43311</v>
      </c>
      <c r="J188" s="3">
        <v>8</v>
      </c>
      <c r="K188" t="s">
        <v>470</v>
      </c>
      <c r="L188" t="s">
        <v>65</v>
      </c>
      <c r="M188">
        <v>2</v>
      </c>
      <c r="N188" t="str" cm="1">
        <f t="array" ref="N188">_xlfn.IFS(AND(24&lt;=Table1[[#This Row],[Age]],Table1[[#This Row],[Age]]&lt;=30),"24-30",Table1[[#This Row],[Age]]&lt;=35,"31-35",Table1[[#This Row],[Age]]&lt;=40,"36-40",Table1[[#This Row],[Age]]&lt;=45,"41-45",Table1[[#This Row],[Age]]&lt;=50,"46-50",Table1[[#This Row],[Age]]&lt;=55,"51-55",Table1[[#This Row],[Age]]&lt;=60,"56-60",Table1[[#This Row],[Age]]&lt;=66,"61-66")</f>
        <v>31-35</v>
      </c>
      <c r="O188" t="s">
        <v>1077</v>
      </c>
      <c r="P188" t="str" cm="1">
        <f t="array" ref="P188">_xlfn.IFS(Table1[[#This Row],[Company Tenure]]&lt;=5,"1-5",Table1[[#This Row],[Company Tenure]]&lt;=10,"6-10",Table1[[#This Row],[Company Tenure]]&lt;=15,"11-15",Table1[[#This Row],[Company Tenure]]&lt;=20, "15-20",Table1[[#This Row],[Company Tenure]]&gt;20,"Above 20")</f>
        <v>6-10</v>
      </c>
    </row>
    <row r="189" spans="1:16" x14ac:dyDescent="0.25">
      <c r="A189" t="s">
        <v>471</v>
      </c>
      <c r="B189" t="s">
        <v>229</v>
      </c>
      <c r="C189" t="s">
        <v>124</v>
      </c>
      <c r="D189" t="s">
        <v>23</v>
      </c>
      <c r="E189">
        <v>40</v>
      </c>
      <c r="F189" t="s">
        <v>9</v>
      </c>
      <c r="G189" t="s">
        <v>2</v>
      </c>
      <c r="H189" s="2">
        <v>119000</v>
      </c>
      <c r="I189" s="1">
        <v>39472</v>
      </c>
      <c r="J189" s="3">
        <v>18</v>
      </c>
      <c r="K189" t="s">
        <v>472</v>
      </c>
      <c r="L189" t="s">
        <v>39</v>
      </c>
      <c r="M189">
        <v>5</v>
      </c>
      <c r="N189" t="str" cm="1">
        <f t="array" ref="N189">_xlfn.IFS(AND(24&lt;=Table1[[#This Row],[Age]],Table1[[#This Row],[Age]]&lt;=30),"24-30",Table1[[#This Row],[Age]]&lt;=35,"31-35",Table1[[#This Row],[Age]]&lt;=40,"36-40",Table1[[#This Row],[Age]]&lt;=45,"41-45",Table1[[#This Row],[Age]]&lt;=50,"46-50",Table1[[#This Row],[Age]]&lt;=55,"51-55",Table1[[#This Row],[Age]]&lt;=60,"56-60",Table1[[#This Row],[Age]]&lt;=66,"61-66")</f>
        <v>36-40</v>
      </c>
      <c r="O189" t="s">
        <v>1074</v>
      </c>
      <c r="P189" t="str" cm="1">
        <f t="array" ref="P189">_xlfn.IFS(Table1[[#This Row],[Company Tenure]]&lt;=5,"1-5",Table1[[#This Row],[Company Tenure]]&lt;=10,"6-10",Table1[[#This Row],[Company Tenure]]&lt;=15,"11-15",Table1[[#This Row],[Company Tenure]]&lt;=20, "15-20",Table1[[#This Row],[Company Tenure]]&gt;20,"Above 20")</f>
        <v>15-20</v>
      </c>
    </row>
    <row r="190" spans="1:16" x14ac:dyDescent="0.25">
      <c r="A190" t="s">
        <v>473</v>
      </c>
      <c r="B190" t="s">
        <v>401</v>
      </c>
      <c r="C190" t="s">
        <v>351</v>
      </c>
      <c r="D190" t="s">
        <v>23</v>
      </c>
      <c r="E190">
        <v>34</v>
      </c>
      <c r="F190" t="s">
        <v>32</v>
      </c>
      <c r="G190" t="s">
        <v>17</v>
      </c>
      <c r="H190" s="2">
        <v>81223</v>
      </c>
      <c r="I190" s="1">
        <v>41338</v>
      </c>
      <c r="J190" s="3">
        <v>13</v>
      </c>
      <c r="K190" t="s">
        <v>474</v>
      </c>
      <c r="L190" t="s">
        <v>25</v>
      </c>
      <c r="M190">
        <v>4</v>
      </c>
      <c r="N190" t="str" cm="1">
        <f t="array" ref="N190">_xlfn.IFS(AND(24&lt;=Table1[[#This Row],[Age]],Table1[[#This Row],[Age]]&lt;=30),"24-30",Table1[[#This Row],[Age]]&lt;=35,"31-35",Table1[[#This Row],[Age]]&lt;=40,"36-40",Table1[[#This Row],[Age]]&lt;=45,"41-45",Table1[[#This Row],[Age]]&lt;=50,"46-50",Table1[[#This Row],[Age]]&lt;=55,"51-55",Table1[[#This Row],[Age]]&lt;=60,"56-60",Table1[[#This Row],[Age]]&lt;=66,"61-66")</f>
        <v>31-35</v>
      </c>
      <c r="O190" t="s">
        <v>1077</v>
      </c>
      <c r="P190" t="str" cm="1">
        <f t="array" ref="P190">_xlfn.IFS(Table1[[#This Row],[Company Tenure]]&lt;=5,"1-5",Table1[[#This Row],[Company Tenure]]&lt;=10,"6-10",Table1[[#This Row],[Company Tenure]]&lt;=15,"11-15",Table1[[#This Row],[Company Tenure]]&lt;=20, "15-20",Table1[[#This Row],[Company Tenure]]&gt;20,"Above 20")</f>
        <v>11-15</v>
      </c>
    </row>
    <row r="191" spans="1:16" x14ac:dyDescent="0.25">
      <c r="A191" t="s">
        <v>475</v>
      </c>
      <c r="B191" t="s">
        <v>476</v>
      </c>
      <c r="C191" t="s">
        <v>138</v>
      </c>
      <c r="D191" t="s">
        <v>23</v>
      </c>
      <c r="E191">
        <v>48</v>
      </c>
      <c r="F191" t="s">
        <v>32</v>
      </c>
      <c r="G191" t="s">
        <v>105</v>
      </c>
      <c r="H191" s="2">
        <v>119523.56</v>
      </c>
      <c r="I191" s="1">
        <v>39690</v>
      </c>
      <c r="J191" s="3">
        <v>18</v>
      </c>
      <c r="K191" t="s">
        <v>477</v>
      </c>
      <c r="L191" t="s">
        <v>120</v>
      </c>
      <c r="M191">
        <v>5</v>
      </c>
      <c r="N191" t="str" cm="1">
        <f t="array" ref="N191">_xlfn.IFS(AND(24&lt;=Table1[[#This Row],[Age]],Table1[[#This Row],[Age]]&lt;=30),"24-30",Table1[[#This Row],[Age]]&lt;=35,"31-35",Table1[[#This Row],[Age]]&lt;=40,"36-40",Table1[[#This Row],[Age]]&lt;=45,"41-45",Table1[[#This Row],[Age]]&lt;=50,"46-50",Table1[[#This Row],[Age]]&lt;=55,"51-55",Table1[[#This Row],[Age]]&lt;=60,"56-60",Table1[[#This Row],[Age]]&lt;=66,"61-66")</f>
        <v>46-50</v>
      </c>
      <c r="O191" t="s">
        <v>1074</v>
      </c>
      <c r="P191" t="str" cm="1">
        <f t="array" ref="P191">_xlfn.IFS(Table1[[#This Row],[Company Tenure]]&lt;=5,"1-5",Table1[[#This Row],[Company Tenure]]&lt;=10,"6-10",Table1[[#This Row],[Company Tenure]]&lt;=15,"11-15",Table1[[#This Row],[Company Tenure]]&lt;=20, "15-20",Table1[[#This Row],[Company Tenure]]&gt;20,"Above 20")</f>
        <v>15-20</v>
      </c>
    </row>
    <row r="192" spans="1:16" x14ac:dyDescent="0.25">
      <c r="A192" t="s">
        <v>478</v>
      </c>
      <c r="B192" t="s">
        <v>633</v>
      </c>
      <c r="C192" t="s">
        <v>402</v>
      </c>
      <c r="D192" t="s">
        <v>23</v>
      </c>
      <c r="E192">
        <v>43</v>
      </c>
      <c r="F192" t="s">
        <v>1066</v>
      </c>
      <c r="G192" t="s">
        <v>44</v>
      </c>
      <c r="H192" s="2">
        <v>66020</v>
      </c>
      <c r="I192" s="1">
        <v>40643</v>
      </c>
      <c r="J192" s="3">
        <v>15</v>
      </c>
      <c r="K192" t="s">
        <v>479</v>
      </c>
      <c r="L192" t="s">
        <v>39</v>
      </c>
      <c r="M192">
        <v>3</v>
      </c>
      <c r="N192" t="str" cm="1">
        <f t="array" ref="N192">_xlfn.IFS(AND(24&lt;=Table1[[#This Row],[Age]],Table1[[#This Row],[Age]]&lt;=30),"24-30",Table1[[#This Row],[Age]]&lt;=35,"31-35",Table1[[#This Row],[Age]]&lt;=40,"36-40",Table1[[#This Row],[Age]]&lt;=45,"41-45",Table1[[#This Row],[Age]]&lt;=50,"46-50",Table1[[#This Row],[Age]]&lt;=55,"51-55",Table1[[#This Row],[Age]]&lt;=60,"56-60",Table1[[#This Row],[Age]]&lt;=66,"61-66")</f>
        <v>41-45</v>
      </c>
      <c r="O192" t="s">
        <v>1077</v>
      </c>
      <c r="P192" t="str" cm="1">
        <f t="array" ref="P192">_xlfn.IFS(Table1[[#This Row],[Company Tenure]]&lt;=5,"1-5",Table1[[#This Row],[Company Tenure]]&lt;=10,"6-10",Table1[[#This Row],[Company Tenure]]&lt;=15,"11-15",Table1[[#This Row],[Company Tenure]]&lt;=20, "15-20",Table1[[#This Row],[Company Tenure]]&gt;20,"Above 20")</f>
        <v>11-15</v>
      </c>
    </row>
    <row r="193" spans="1:16" x14ac:dyDescent="0.25">
      <c r="A193" t="s">
        <v>480</v>
      </c>
      <c r="B193" t="s">
        <v>374</v>
      </c>
      <c r="C193" t="s">
        <v>427</v>
      </c>
      <c r="D193" t="s">
        <v>1</v>
      </c>
      <c r="E193">
        <v>39</v>
      </c>
      <c r="F193" t="s">
        <v>1066</v>
      </c>
      <c r="G193" t="s">
        <v>37</v>
      </c>
      <c r="H193" s="2">
        <v>51998.15</v>
      </c>
      <c r="I193" s="1">
        <v>40749</v>
      </c>
      <c r="J193" s="3">
        <v>15</v>
      </c>
      <c r="K193" t="s">
        <v>481</v>
      </c>
      <c r="L193" t="s">
        <v>14</v>
      </c>
      <c r="M193">
        <v>3</v>
      </c>
      <c r="N193" t="str" cm="1">
        <f t="array" ref="N193">_xlfn.IFS(AND(24&lt;=Table1[[#This Row],[Age]],Table1[[#This Row],[Age]]&lt;=30),"24-30",Table1[[#This Row],[Age]]&lt;=35,"31-35",Table1[[#This Row],[Age]]&lt;=40,"36-40",Table1[[#This Row],[Age]]&lt;=45,"41-45",Table1[[#This Row],[Age]]&lt;=50,"46-50",Table1[[#This Row],[Age]]&lt;=55,"51-55",Table1[[#This Row],[Age]]&lt;=60,"56-60",Table1[[#This Row],[Age]]&lt;=66,"61-66")</f>
        <v>36-40</v>
      </c>
      <c r="O193" t="s">
        <v>1077</v>
      </c>
      <c r="P193" t="str" cm="1">
        <f t="array" ref="P193">_xlfn.IFS(Table1[[#This Row],[Company Tenure]]&lt;=5,"1-5",Table1[[#This Row],[Company Tenure]]&lt;=10,"6-10",Table1[[#This Row],[Company Tenure]]&lt;=15,"11-15",Table1[[#This Row],[Company Tenure]]&lt;=20, "15-20",Table1[[#This Row],[Company Tenure]]&gt;20,"Above 20")</f>
        <v>11-15</v>
      </c>
    </row>
    <row r="194" spans="1:16" x14ac:dyDescent="0.25">
      <c r="A194" t="s">
        <v>482</v>
      </c>
      <c r="B194" t="s">
        <v>127</v>
      </c>
      <c r="C194" t="s">
        <v>222</v>
      </c>
      <c r="D194" t="s">
        <v>8</v>
      </c>
      <c r="E194">
        <v>35</v>
      </c>
      <c r="F194" t="s">
        <v>313</v>
      </c>
      <c r="G194" t="s">
        <v>44</v>
      </c>
      <c r="H194" s="2">
        <v>93423.5</v>
      </c>
      <c r="I194" s="1">
        <v>42009</v>
      </c>
      <c r="J194" s="3">
        <v>11</v>
      </c>
      <c r="K194" t="s">
        <v>483</v>
      </c>
      <c r="L194" t="s">
        <v>11</v>
      </c>
      <c r="M194">
        <v>4</v>
      </c>
      <c r="N194" t="str" cm="1">
        <f t="array" ref="N194">_xlfn.IFS(AND(24&lt;=Table1[[#This Row],[Age]],Table1[[#This Row],[Age]]&lt;=30),"24-30",Table1[[#This Row],[Age]]&lt;=35,"31-35",Table1[[#This Row],[Age]]&lt;=40,"36-40",Table1[[#This Row],[Age]]&lt;=45,"41-45",Table1[[#This Row],[Age]]&lt;=50,"46-50",Table1[[#This Row],[Age]]&lt;=55,"51-55",Table1[[#This Row],[Age]]&lt;=60,"56-60",Table1[[#This Row],[Age]]&lt;=66,"61-66")</f>
        <v>31-35</v>
      </c>
      <c r="O194" t="s">
        <v>1077</v>
      </c>
      <c r="P194" t="str" cm="1">
        <f t="array" ref="P194">_xlfn.IFS(Table1[[#This Row],[Company Tenure]]&lt;=5,"1-5",Table1[[#This Row],[Company Tenure]]&lt;=10,"6-10",Table1[[#This Row],[Company Tenure]]&lt;=15,"11-15",Table1[[#This Row],[Company Tenure]]&lt;=20, "15-20",Table1[[#This Row],[Company Tenure]]&gt;20,"Above 20")</f>
        <v>11-15</v>
      </c>
    </row>
    <row r="195" spans="1:16" x14ac:dyDescent="0.25">
      <c r="A195" t="s">
        <v>484</v>
      </c>
      <c r="B195" t="s">
        <v>355</v>
      </c>
      <c r="C195" t="s">
        <v>485</v>
      </c>
      <c r="D195" t="s">
        <v>8</v>
      </c>
      <c r="E195">
        <v>46</v>
      </c>
      <c r="F195" t="s">
        <v>133</v>
      </c>
      <c r="G195" t="s">
        <v>17</v>
      </c>
      <c r="H195" s="2">
        <v>55811</v>
      </c>
      <c r="I195" s="1">
        <v>44576</v>
      </c>
      <c r="J195" s="3">
        <v>4</v>
      </c>
      <c r="K195" t="s">
        <v>486</v>
      </c>
      <c r="L195" t="s">
        <v>85</v>
      </c>
      <c r="M195">
        <v>4</v>
      </c>
      <c r="N195" t="str" cm="1">
        <f t="array" ref="N195">_xlfn.IFS(AND(24&lt;=Table1[[#This Row],[Age]],Table1[[#This Row],[Age]]&lt;=30),"24-30",Table1[[#This Row],[Age]]&lt;=35,"31-35",Table1[[#This Row],[Age]]&lt;=40,"36-40",Table1[[#This Row],[Age]]&lt;=45,"41-45",Table1[[#This Row],[Age]]&lt;=50,"46-50",Table1[[#This Row],[Age]]&lt;=55,"51-55",Table1[[#This Row],[Age]]&lt;=60,"56-60",Table1[[#This Row],[Age]]&lt;=66,"61-66")</f>
        <v>46-50</v>
      </c>
      <c r="O195" t="s">
        <v>1077</v>
      </c>
      <c r="P195" t="str" cm="1">
        <f t="array" ref="P195">_xlfn.IFS(Table1[[#This Row],[Company Tenure]]&lt;=5,"1-5",Table1[[#This Row],[Company Tenure]]&lt;=10,"6-10",Table1[[#This Row],[Company Tenure]]&lt;=15,"11-15",Table1[[#This Row],[Company Tenure]]&lt;=20, "15-20",Table1[[#This Row],[Company Tenure]]&gt;20,"Above 20")</f>
        <v>1-5</v>
      </c>
    </row>
    <row r="196" spans="1:16" x14ac:dyDescent="0.25">
      <c r="A196" t="s">
        <v>487</v>
      </c>
      <c r="B196" t="s">
        <v>714</v>
      </c>
      <c r="C196" t="s">
        <v>118</v>
      </c>
      <c r="D196" t="s">
        <v>1</v>
      </c>
      <c r="E196">
        <v>49</v>
      </c>
      <c r="F196" t="s">
        <v>313</v>
      </c>
      <c r="G196" t="s">
        <v>2</v>
      </c>
      <c r="H196" s="2">
        <v>131470</v>
      </c>
      <c r="I196" s="1">
        <v>40920</v>
      </c>
      <c r="J196" s="3">
        <v>14</v>
      </c>
      <c r="K196" t="s">
        <v>488</v>
      </c>
      <c r="L196" t="s">
        <v>19</v>
      </c>
      <c r="M196">
        <v>5</v>
      </c>
      <c r="N196" t="str" cm="1">
        <f t="array" ref="N196">_xlfn.IFS(AND(24&lt;=Table1[[#This Row],[Age]],Table1[[#This Row],[Age]]&lt;=30),"24-30",Table1[[#This Row],[Age]]&lt;=35,"31-35",Table1[[#This Row],[Age]]&lt;=40,"36-40",Table1[[#This Row],[Age]]&lt;=45,"41-45",Table1[[#This Row],[Age]]&lt;=50,"46-50",Table1[[#This Row],[Age]]&lt;=55,"51-55",Table1[[#This Row],[Age]]&lt;=60,"56-60",Table1[[#This Row],[Age]]&lt;=66,"61-66")</f>
        <v>46-50</v>
      </c>
      <c r="O196" t="s">
        <v>1074</v>
      </c>
      <c r="P196" t="str" cm="1">
        <f t="array" ref="P196">_xlfn.IFS(Table1[[#This Row],[Company Tenure]]&lt;=5,"1-5",Table1[[#This Row],[Company Tenure]]&lt;=10,"6-10",Table1[[#This Row],[Company Tenure]]&lt;=15,"11-15",Table1[[#This Row],[Company Tenure]]&lt;=20, "15-20",Table1[[#This Row],[Company Tenure]]&gt;20,"Above 20")</f>
        <v>11-15</v>
      </c>
    </row>
    <row r="197" spans="1:16" x14ac:dyDescent="0.25">
      <c r="A197" t="s">
        <v>489</v>
      </c>
      <c r="B197" t="s">
        <v>355</v>
      </c>
      <c r="C197" t="s">
        <v>83</v>
      </c>
      <c r="D197" t="s">
        <v>8</v>
      </c>
      <c r="E197">
        <v>41</v>
      </c>
      <c r="F197" t="s">
        <v>154</v>
      </c>
      <c r="G197" t="s">
        <v>37</v>
      </c>
      <c r="H197" s="2">
        <v>58562.02</v>
      </c>
      <c r="I197" s="1">
        <v>40002</v>
      </c>
      <c r="J197" s="3">
        <v>17</v>
      </c>
      <c r="K197" t="s">
        <v>490</v>
      </c>
      <c r="L197" t="s">
        <v>25</v>
      </c>
      <c r="M197">
        <v>4</v>
      </c>
      <c r="N197" t="str" cm="1">
        <f t="array" ref="N197">_xlfn.IFS(AND(24&lt;=Table1[[#This Row],[Age]],Table1[[#This Row],[Age]]&lt;=30),"24-30",Table1[[#This Row],[Age]]&lt;=35,"31-35",Table1[[#This Row],[Age]]&lt;=40,"36-40",Table1[[#This Row],[Age]]&lt;=45,"41-45",Table1[[#This Row],[Age]]&lt;=50,"46-50",Table1[[#This Row],[Age]]&lt;=55,"51-55",Table1[[#This Row],[Age]]&lt;=60,"56-60",Table1[[#This Row],[Age]]&lt;=66,"61-66")</f>
        <v>41-45</v>
      </c>
      <c r="O197" t="s">
        <v>1077</v>
      </c>
      <c r="P197" t="str" cm="1">
        <f t="array" ref="P197">_xlfn.IFS(Table1[[#This Row],[Company Tenure]]&lt;=5,"1-5",Table1[[#This Row],[Company Tenure]]&lt;=10,"6-10",Table1[[#This Row],[Company Tenure]]&lt;=15,"11-15",Table1[[#This Row],[Company Tenure]]&lt;=20, "15-20",Table1[[#This Row],[Company Tenure]]&gt;20,"Above 20")</f>
        <v>15-20</v>
      </c>
    </row>
    <row r="198" spans="1:16" x14ac:dyDescent="0.25">
      <c r="A198" t="s">
        <v>491</v>
      </c>
      <c r="B198" t="s">
        <v>469</v>
      </c>
      <c r="C198" t="s">
        <v>452</v>
      </c>
      <c r="D198" t="s">
        <v>8</v>
      </c>
      <c r="E198">
        <v>49</v>
      </c>
      <c r="F198" t="s">
        <v>133</v>
      </c>
      <c r="G198" t="s">
        <v>161</v>
      </c>
      <c r="H198" s="2">
        <v>113555</v>
      </c>
      <c r="I198" s="1">
        <v>40045</v>
      </c>
      <c r="J198" s="3">
        <v>17</v>
      </c>
      <c r="K198" t="s">
        <v>492</v>
      </c>
      <c r="L198" t="s">
        <v>107</v>
      </c>
      <c r="M198">
        <v>3</v>
      </c>
      <c r="N198" t="str" cm="1">
        <f t="array" ref="N198">_xlfn.IFS(AND(24&lt;=Table1[[#This Row],[Age]],Table1[[#This Row],[Age]]&lt;=30),"24-30",Table1[[#This Row],[Age]]&lt;=35,"31-35",Table1[[#This Row],[Age]]&lt;=40,"36-40",Table1[[#This Row],[Age]]&lt;=45,"41-45",Table1[[#This Row],[Age]]&lt;=50,"46-50",Table1[[#This Row],[Age]]&lt;=55,"51-55",Table1[[#This Row],[Age]]&lt;=60,"56-60",Table1[[#This Row],[Age]]&lt;=66,"61-66")</f>
        <v>46-50</v>
      </c>
      <c r="O198" t="s">
        <v>1074</v>
      </c>
      <c r="P198" t="str" cm="1">
        <f t="array" ref="P198">_xlfn.IFS(Table1[[#This Row],[Company Tenure]]&lt;=5,"1-5",Table1[[#This Row],[Company Tenure]]&lt;=10,"6-10",Table1[[#This Row],[Company Tenure]]&lt;=15,"11-15",Table1[[#This Row],[Company Tenure]]&lt;=20, "15-20",Table1[[#This Row],[Company Tenure]]&gt;20,"Above 20")</f>
        <v>15-20</v>
      </c>
    </row>
    <row r="199" spans="1:16" x14ac:dyDescent="0.25">
      <c r="A199" t="s">
        <v>493</v>
      </c>
      <c r="B199" t="s">
        <v>714</v>
      </c>
      <c r="C199" t="s">
        <v>83</v>
      </c>
      <c r="D199" t="s">
        <v>1</v>
      </c>
      <c r="E199">
        <v>55</v>
      </c>
      <c r="F199" t="s">
        <v>32</v>
      </c>
      <c r="G199" t="s">
        <v>2</v>
      </c>
      <c r="H199" s="2">
        <v>116330</v>
      </c>
      <c r="I199" s="1" t="s">
        <v>1059</v>
      </c>
      <c r="J199" s="3" t="s">
        <v>1059</v>
      </c>
      <c r="K199" t="s">
        <v>494</v>
      </c>
      <c r="L199" t="s">
        <v>65</v>
      </c>
      <c r="M199">
        <v>5</v>
      </c>
      <c r="N199" t="str" cm="1">
        <f t="array" ref="N199">_xlfn.IFS(AND(24&lt;=Table1[[#This Row],[Age]],Table1[[#This Row],[Age]]&lt;=30),"24-30",Table1[[#This Row],[Age]]&lt;=35,"31-35",Table1[[#This Row],[Age]]&lt;=40,"36-40",Table1[[#This Row],[Age]]&lt;=45,"41-45",Table1[[#This Row],[Age]]&lt;=50,"46-50",Table1[[#This Row],[Age]]&lt;=55,"51-55",Table1[[#This Row],[Age]]&lt;=60,"56-60",Table1[[#This Row],[Age]]&lt;=66,"61-66")</f>
        <v>51-55</v>
      </c>
      <c r="O199" t="s">
        <v>1074</v>
      </c>
      <c r="P199" t="str" cm="1">
        <f t="array" ref="P199">_xlfn.IFS(Table1[[#This Row],[Company Tenure]]&lt;=5,"1-5",Table1[[#This Row],[Company Tenure]]&lt;=10,"6-10",Table1[[#This Row],[Company Tenure]]&lt;=15,"11-15",Table1[[#This Row],[Company Tenure]]&lt;=20, "15-20",Table1[[#This Row],[Company Tenure]]&gt;20,"Above 20")</f>
        <v>Above 20</v>
      </c>
    </row>
    <row r="200" spans="1:16" x14ac:dyDescent="0.25">
      <c r="A200" t="s">
        <v>495</v>
      </c>
      <c r="B200" t="s">
        <v>221</v>
      </c>
      <c r="C200" t="s">
        <v>169</v>
      </c>
      <c r="D200" t="s">
        <v>8</v>
      </c>
      <c r="E200">
        <v>29</v>
      </c>
      <c r="F200" t="s">
        <v>133</v>
      </c>
      <c r="G200" t="s">
        <v>2</v>
      </c>
      <c r="H200" s="2">
        <v>89636</v>
      </c>
      <c r="I200" s="1" t="s">
        <v>1059</v>
      </c>
      <c r="J200" s="3" t="s">
        <v>1059</v>
      </c>
      <c r="K200" t="s">
        <v>496</v>
      </c>
      <c r="L200" t="s">
        <v>207</v>
      </c>
      <c r="M200">
        <v>4</v>
      </c>
      <c r="N200" t="str" cm="1">
        <f t="array" ref="N200">_xlfn.IFS(AND(24&lt;=Table1[[#This Row],[Age]],Table1[[#This Row],[Age]]&lt;=30),"24-30",Table1[[#This Row],[Age]]&lt;=35,"31-35",Table1[[#This Row],[Age]]&lt;=40,"36-40",Table1[[#This Row],[Age]]&lt;=45,"41-45",Table1[[#This Row],[Age]]&lt;=50,"46-50",Table1[[#This Row],[Age]]&lt;=55,"51-55",Table1[[#This Row],[Age]]&lt;=60,"56-60",Table1[[#This Row],[Age]]&lt;=66,"61-66")</f>
        <v>24-30</v>
      </c>
      <c r="O200" t="s">
        <v>1077</v>
      </c>
      <c r="P200" t="str" cm="1">
        <f t="array" ref="P200">_xlfn.IFS(Table1[[#This Row],[Company Tenure]]&lt;=5,"1-5",Table1[[#This Row],[Company Tenure]]&lt;=10,"6-10",Table1[[#This Row],[Company Tenure]]&lt;=15,"11-15",Table1[[#This Row],[Company Tenure]]&lt;=20, "15-20",Table1[[#This Row],[Company Tenure]]&gt;20,"Above 20")</f>
        <v>Above 20</v>
      </c>
    </row>
    <row r="201" spans="1:16" x14ac:dyDescent="0.25">
      <c r="A201" t="s">
        <v>497</v>
      </c>
      <c r="B201" t="s">
        <v>47</v>
      </c>
      <c r="C201" t="s">
        <v>375</v>
      </c>
      <c r="D201" t="s">
        <v>23</v>
      </c>
      <c r="E201">
        <v>43</v>
      </c>
      <c r="F201" t="s">
        <v>295</v>
      </c>
      <c r="G201" t="s">
        <v>44</v>
      </c>
      <c r="H201" s="2">
        <v>60001</v>
      </c>
      <c r="I201" s="1">
        <v>42591</v>
      </c>
      <c r="J201" s="3">
        <v>10</v>
      </c>
      <c r="K201" t="s">
        <v>498</v>
      </c>
      <c r="L201" t="s">
        <v>120</v>
      </c>
      <c r="M201">
        <v>3</v>
      </c>
      <c r="N201" t="str" cm="1">
        <f t="array" ref="N201">_xlfn.IFS(AND(24&lt;=Table1[[#This Row],[Age]],Table1[[#This Row],[Age]]&lt;=30),"24-30",Table1[[#This Row],[Age]]&lt;=35,"31-35",Table1[[#This Row],[Age]]&lt;=40,"36-40",Table1[[#This Row],[Age]]&lt;=45,"41-45",Table1[[#This Row],[Age]]&lt;=50,"46-50",Table1[[#This Row],[Age]]&lt;=55,"51-55",Table1[[#This Row],[Age]]&lt;=60,"56-60",Table1[[#This Row],[Age]]&lt;=66,"61-66")</f>
        <v>41-45</v>
      </c>
      <c r="O201" t="s">
        <v>1077</v>
      </c>
      <c r="P201" t="str" cm="1">
        <f t="array" ref="P201">_xlfn.IFS(Table1[[#This Row],[Company Tenure]]&lt;=5,"1-5",Table1[[#This Row],[Company Tenure]]&lt;=10,"6-10",Table1[[#This Row],[Company Tenure]]&lt;=15,"11-15",Table1[[#This Row],[Company Tenure]]&lt;=20, "15-20",Table1[[#This Row],[Company Tenure]]&gt;20,"Above 20")</f>
        <v>6-10</v>
      </c>
    </row>
    <row r="202" spans="1:16" x14ac:dyDescent="0.25">
      <c r="A202" t="s">
        <v>499</v>
      </c>
      <c r="B202" t="s">
        <v>62</v>
      </c>
      <c r="C202" t="s">
        <v>7</v>
      </c>
      <c r="D202" t="s">
        <v>8</v>
      </c>
      <c r="E202">
        <v>64</v>
      </c>
      <c r="F202" t="s">
        <v>154</v>
      </c>
      <c r="G202" t="s">
        <v>17</v>
      </c>
      <c r="H202" s="2">
        <v>41791.5</v>
      </c>
      <c r="I202" s="1">
        <v>40650</v>
      </c>
      <c r="J202" s="3">
        <v>15</v>
      </c>
      <c r="K202" t="s">
        <v>500</v>
      </c>
      <c r="L202" t="s">
        <v>65</v>
      </c>
      <c r="M202">
        <v>3</v>
      </c>
      <c r="N202" t="str" cm="1">
        <f t="array" ref="N202">_xlfn.IFS(AND(24&lt;=Table1[[#This Row],[Age]],Table1[[#This Row],[Age]]&lt;=30),"24-30",Table1[[#This Row],[Age]]&lt;=35,"31-35",Table1[[#This Row],[Age]]&lt;=40,"36-40",Table1[[#This Row],[Age]]&lt;=45,"41-45",Table1[[#This Row],[Age]]&lt;=50,"46-50",Table1[[#This Row],[Age]]&lt;=55,"51-55",Table1[[#This Row],[Age]]&lt;=60,"56-60",Table1[[#This Row],[Age]]&lt;=66,"61-66")</f>
        <v>61-66</v>
      </c>
      <c r="O202" t="s">
        <v>1076</v>
      </c>
      <c r="P202" t="str" cm="1">
        <f t="array" ref="P202">_xlfn.IFS(Table1[[#This Row],[Company Tenure]]&lt;=5,"1-5",Table1[[#This Row],[Company Tenure]]&lt;=10,"6-10",Table1[[#This Row],[Company Tenure]]&lt;=15,"11-15",Table1[[#This Row],[Company Tenure]]&lt;=20, "15-20",Table1[[#This Row],[Company Tenure]]&gt;20,"Above 20")</f>
        <v>11-15</v>
      </c>
    </row>
    <row r="203" spans="1:16" x14ac:dyDescent="0.25">
      <c r="A203" t="s">
        <v>501</v>
      </c>
      <c r="B203" t="s">
        <v>229</v>
      </c>
      <c r="C203" t="s">
        <v>31</v>
      </c>
      <c r="D203" t="s">
        <v>8</v>
      </c>
      <c r="E203">
        <v>39</v>
      </c>
      <c r="F203" t="s">
        <v>36</v>
      </c>
      <c r="G203" t="s">
        <v>17</v>
      </c>
      <c r="H203" s="2">
        <v>84751</v>
      </c>
      <c r="I203" s="1">
        <v>41536</v>
      </c>
      <c r="J203" s="3">
        <v>13</v>
      </c>
      <c r="K203" t="s">
        <v>502</v>
      </c>
      <c r="L203" t="s">
        <v>54</v>
      </c>
      <c r="M203">
        <v>3</v>
      </c>
      <c r="N203" t="str" cm="1">
        <f t="array" ref="N203">_xlfn.IFS(AND(24&lt;=Table1[[#This Row],[Age]],Table1[[#This Row],[Age]]&lt;=30),"24-30",Table1[[#This Row],[Age]]&lt;=35,"31-35",Table1[[#This Row],[Age]]&lt;=40,"36-40",Table1[[#This Row],[Age]]&lt;=45,"41-45",Table1[[#This Row],[Age]]&lt;=50,"46-50",Table1[[#This Row],[Age]]&lt;=55,"51-55",Table1[[#This Row],[Age]]&lt;=60,"56-60",Table1[[#This Row],[Age]]&lt;=66,"61-66")</f>
        <v>36-40</v>
      </c>
      <c r="O203" t="s">
        <v>1077</v>
      </c>
      <c r="P203" t="str" cm="1">
        <f t="array" ref="P203">_xlfn.IFS(Table1[[#This Row],[Company Tenure]]&lt;=5,"1-5",Table1[[#This Row],[Company Tenure]]&lt;=10,"6-10",Table1[[#This Row],[Company Tenure]]&lt;=15,"11-15",Table1[[#This Row],[Company Tenure]]&lt;=20, "15-20",Table1[[#This Row],[Company Tenure]]&gt;20,"Above 20")</f>
        <v>11-15</v>
      </c>
    </row>
    <row r="204" spans="1:16" x14ac:dyDescent="0.25">
      <c r="A204" t="s">
        <v>503</v>
      </c>
      <c r="B204" t="s">
        <v>103</v>
      </c>
      <c r="C204" t="s">
        <v>356</v>
      </c>
      <c r="D204" t="s">
        <v>8</v>
      </c>
      <c r="E204">
        <v>63</v>
      </c>
      <c r="F204" t="s">
        <v>9</v>
      </c>
      <c r="G204" t="s">
        <v>44</v>
      </c>
      <c r="H204" s="2">
        <v>79714</v>
      </c>
      <c r="I204" s="1">
        <v>41241</v>
      </c>
      <c r="J204" s="3">
        <v>13</v>
      </c>
      <c r="K204" t="s">
        <v>504</v>
      </c>
      <c r="L204" t="s">
        <v>107</v>
      </c>
      <c r="M204">
        <v>4</v>
      </c>
      <c r="N204" t="str" cm="1">
        <f t="array" ref="N204">_xlfn.IFS(AND(24&lt;=Table1[[#This Row],[Age]],Table1[[#This Row],[Age]]&lt;=30),"24-30",Table1[[#This Row],[Age]]&lt;=35,"31-35",Table1[[#This Row],[Age]]&lt;=40,"36-40",Table1[[#This Row],[Age]]&lt;=45,"41-45",Table1[[#This Row],[Age]]&lt;=50,"46-50",Table1[[#This Row],[Age]]&lt;=55,"51-55",Table1[[#This Row],[Age]]&lt;=60,"56-60",Table1[[#This Row],[Age]]&lt;=66,"61-66")</f>
        <v>61-66</v>
      </c>
      <c r="O204" t="s">
        <v>1077</v>
      </c>
      <c r="P204" t="str" cm="1">
        <f t="array" ref="P204">_xlfn.IFS(Table1[[#This Row],[Company Tenure]]&lt;=5,"1-5",Table1[[#This Row],[Company Tenure]]&lt;=10,"6-10",Table1[[#This Row],[Company Tenure]]&lt;=15,"11-15",Table1[[#This Row],[Company Tenure]]&lt;=20, "15-20",Table1[[#This Row],[Company Tenure]]&gt;20,"Above 20")</f>
        <v>11-15</v>
      </c>
    </row>
    <row r="205" spans="1:16" x14ac:dyDescent="0.25">
      <c r="A205" t="s">
        <v>505</v>
      </c>
      <c r="B205" t="s">
        <v>94</v>
      </c>
      <c r="C205" t="s">
        <v>222</v>
      </c>
      <c r="D205" t="s">
        <v>8</v>
      </c>
      <c r="E205">
        <v>54</v>
      </c>
      <c r="F205" t="s">
        <v>313</v>
      </c>
      <c r="G205" t="s">
        <v>17</v>
      </c>
      <c r="H205" s="2">
        <v>91809</v>
      </c>
      <c r="I205" s="1">
        <v>38760</v>
      </c>
      <c r="J205" s="3">
        <v>20</v>
      </c>
      <c r="K205" t="s">
        <v>506</v>
      </c>
      <c r="L205" t="s">
        <v>65</v>
      </c>
      <c r="M205">
        <v>3</v>
      </c>
      <c r="N205" t="str" cm="1">
        <f t="array" ref="N205">_xlfn.IFS(AND(24&lt;=Table1[[#This Row],[Age]],Table1[[#This Row],[Age]]&lt;=30),"24-30",Table1[[#This Row],[Age]]&lt;=35,"31-35",Table1[[#This Row],[Age]]&lt;=40,"36-40",Table1[[#This Row],[Age]]&lt;=45,"41-45",Table1[[#This Row],[Age]]&lt;=50,"46-50",Table1[[#This Row],[Age]]&lt;=55,"51-55",Table1[[#This Row],[Age]]&lt;=60,"56-60",Table1[[#This Row],[Age]]&lt;=66,"61-66")</f>
        <v>51-55</v>
      </c>
      <c r="O205" t="s">
        <v>1077</v>
      </c>
      <c r="P205" t="str" cm="1">
        <f t="array" ref="P205">_xlfn.IFS(Table1[[#This Row],[Company Tenure]]&lt;=5,"1-5",Table1[[#This Row],[Company Tenure]]&lt;=10,"6-10",Table1[[#This Row],[Company Tenure]]&lt;=15,"11-15",Table1[[#This Row],[Company Tenure]]&lt;=20, "15-20",Table1[[#This Row],[Company Tenure]]&gt;20,"Above 20")</f>
        <v>15-20</v>
      </c>
    </row>
    <row r="206" spans="1:16" x14ac:dyDescent="0.25">
      <c r="A206" t="s">
        <v>507</v>
      </c>
      <c r="B206" t="s">
        <v>6</v>
      </c>
      <c r="C206" t="s">
        <v>118</v>
      </c>
      <c r="D206" t="s">
        <v>23</v>
      </c>
      <c r="E206">
        <v>41</v>
      </c>
      <c r="F206" t="s">
        <v>133</v>
      </c>
      <c r="G206" t="s">
        <v>37</v>
      </c>
      <c r="H206" s="2">
        <v>67072</v>
      </c>
      <c r="I206" s="1">
        <v>40658</v>
      </c>
      <c r="J206" s="3">
        <v>15</v>
      </c>
      <c r="K206" t="s">
        <v>508</v>
      </c>
      <c r="L206" t="s">
        <v>19</v>
      </c>
      <c r="M206">
        <v>4</v>
      </c>
      <c r="N206" t="str" cm="1">
        <f t="array" ref="N206">_xlfn.IFS(AND(24&lt;=Table1[[#This Row],[Age]],Table1[[#This Row],[Age]]&lt;=30),"24-30",Table1[[#This Row],[Age]]&lt;=35,"31-35",Table1[[#This Row],[Age]]&lt;=40,"36-40",Table1[[#This Row],[Age]]&lt;=45,"41-45",Table1[[#This Row],[Age]]&lt;=50,"46-50",Table1[[#This Row],[Age]]&lt;=55,"51-55",Table1[[#This Row],[Age]]&lt;=60,"56-60",Table1[[#This Row],[Age]]&lt;=66,"61-66")</f>
        <v>41-45</v>
      </c>
      <c r="O206" t="s">
        <v>1077</v>
      </c>
      <c r="P206" t="str" cm="1">
        <f t="array" ref="P206">_xlfn.IFS(Table1[[#This Row],[Company Tenure]]&lt;=5,"1-5",Table1[[#This Row],[Company Tenure]]&lt;=10,"6-10",Table1[[#This Row],[Company Tenure]]&lt;=15,"11-15",Table1[[#This Row],[Company Tenure]]&lt;=20, "15-20",Table1[[#This Row],[Company Tenure]]&gt;20,"Above 20")</f>
        <v>11-15</v>
      </c>
    </row>
    <row r="207" spans="1:16" x14ac:dyDescent="0.25">
      <c r="A207" t="s">
        <v>509</v>
      </c>
      <c r="B207" t="s">
        <v>714</v>
      </c>
      <c r="C207" t="s">
        <v>104</v>
      </c>
      <c r="D207" t="s">
        <v>8</v>
      </c>
      <c r="E207">
        <v>43</v>
      </c>
      <c r="F207" t="s">
        <v>203</v>
      </c>
      <c r="G207" t="s">
        <v>44</v>
      </c>
      <c r="H207" s="2">
        <v>51595</v>
      </c>
      <c r="I207" s="1">
        <v>40927</v>
      </c>
      <c r="J207" s="3">
        <v>14</v>
      </c>
      <c r="K207" t="s">
        <v>510</v>
      </c>
      <c r="L207" t="s">
        <v>207</v>
      </c>
      <c r="M207">
        <v>3</v>
      </c>
      <c r="N207" t="str" cm="1">
        <f t="array" ref="N207">_xlfn.IFS(AND(24&lt;=Table1[[#This Row],[Age]],Table1[[#This Row],[Age]]&lt;=30),"24-30",Table1[[#This Row],[Age]]&lt;=35,"31-35",Table1[[#This Row],[Age]]&lt;=40,"36-40",Table1[[#This Row],[Age]]&lt;=45,"41-45",Table1[[#This Row],[Age]]&lt;=50,"46-50",Table1[[#This Row],[Age]]&lt;=55,"51-55",Table1[[#This Row],[Age]]&lt;=60,"56-60",Table1[[#This Row],[Age]]&lt;=66,"61-66")</f>
        <v>41-45</v>
      </c>
      <c r="O207" t="s">
        <v>1077</v>
      </c>
      <c r="P207" t="str" cm="1">
        <f t="array" ref="P207">_xlfn.IFS(Table1[[#This Row],[Company Tenure]]&lt;=5,"1-5",Table1[[#This Row],[Company Tenure]]&lt;=10,"6-10",Table1[[#This Row],[Company Tenure]]&lt;=15,"11-15",Table1[[#This Row],[Company Tenure]]&lt;=20, "15-20",Table1[[#This Row],[Company Tenure]]&gt;20,"Above 20")</f>
        <v>11-15</v>
      </c>
    </row>
    <row r="208" spans="1:16" x14ac:dyDescent="0.25">
      <c r="A208" t="s">
        <v>511</v>
      </c>
      <c r="B208" t="s">
        <v>99</v>
      </c>
      <c r="C208" t="s">
        <v>141</v>
      </c>
      <c r="D208" t="s">
        <v>8</v>
      </c>
      <c r="E208">
        <v>37</v>
      </c>
      <c r="F208" t="s">
        <v>36</v>
      </c>
      <c r="G208" t="s">
        <v>44</v>
      </c>
      <c r="H208" s="2">
        <v>83842</v>
      </c>
      <c r="I208" s="1">
        <v>41801</v>
      </c>
      <c r="J208" s="3">
        <v>12</v>
      </c>
      <c r="K208" t="s">
        <v>512</v>
      </c>
      <c r="L208" t="s">
        <v>65</v>
      </c>
      <c r="M208">
        <v>5</v>
      </c>
      <c r="N208" t="str" cm="1">
        <f t="array" ref="N208">_xlfn.IFS(AND(24&lt;=Table1[[#This Row],[Age]],Table1[[#This Row],[Age]]&lt;=30),"24-30",Table1[[#This Row],[Age]]&lt;=35,"31-35",Table1[[#This Row],[Age]]&lt;=40,"36-40",Table1[[#This Row],[Age]]&lt;=45,"41-45",Table1[[#This Row],[Age]]&lt;=50,"46-50",Table1[[#This Row],[Age]]&lt;=55,"51-55",Table1[[#This Row],[Age]]&lt;=60,"56-60",Table1[[#This Row],[Age]]&lt;=66,"61-66")</f>
        <v>36-40</v>
      </c>
      <c r="O208" t="s">
        <v>1077</v>
      </c>
      <c r="P208" t="str" cm="1">
        <f t="array" ref="P208">_xlfn.IFS(Table1[[#This Row],[Company Tenure]]&lt;=5,"1-5",Table1[[#This Row],[Company Tenure]]&lt;=10,"6-10",Table1[[#This Row],[Company Tenure]]&lt;=15,"11-15",Table1[[#This Row],[Company Tenure]]&lt;=20, "15-20",Table1[[#This Row],[Company Tenure]]&gt;20,"Above 20")</f>
        <v>11-15</v>
      </c>
    </row>
    <row r="209" spans="1:16" x14ac:dyDescent="0.25">
      <c r="A209" t="s">
        <v>513</v>
      </c>
      <c r="B209" t="s">
        <v>514</v>
      </c>
      <c r="C209" t="s">
        <v>351</v>
      </c>
      <c r="D209" t="s">
        <v>8</v>
      </c>
      <c r="E209">
        <v>46</v>
      </c>
      <c r="F209" t="s">
        <v>1066</v>
      </c>
      <c r="G209" t="s">
        <v>216</v>
      </c>
      <c r="H209" s="2">
        <v>131093</v>
      </c>
      <c r="I209" s="1">
        <v>40386</v>
      </c>
      <c r="J209" s="3">
        <v>16</v>
      </c>
      <c r="K209" t="s">
        <v>515</v>
      </c>
      <c r="L209" t="s">
        <v>207</v>
      </c>
      <c r="M209">
        <v>4</v>
      </c>
      <c r="N209" t="str" cm="1">
        <f t="array" ref="N209">_xlfn.IFS(AND(24&lt;=Table1[[#This Row],[Age]],Table1[[#This Row],[Age]]&lt;=30),"24-30",Table1[[#This Row],[Age]]&lt;=35,"31-35",Table1[[#This Row],[Age]]&lt;=40,"36-40",Table1[[#This Row],[Age]]&lt;=45,"41-45",Table1[[#This Row],[Age]]&lt;=50,"46-50",Table1[[#This Row],[Age]]&lt;=55,"51-55",Table1[[#This Row],[Age]]&lt;=60,"56-60",Table1[[#This Row],[Age]]&lt;=66,"61-66")</f>
        <v>46-50</v>
      </c>
      <c r="O209" t="s">
        <v>1074</v>
      </c>
      <c r="P209" t="str" cm="1">
        <f t="array" ref="P209">_xlfn.IFS(Table1[[#This Row],[Company Tenure]]&lt;=5,"1-5",Table1[[#This Row],[Company Tenure]]&lt;=10,"6-10",Table1[[#This Row],[Company Tenure]]&lt;=15,"11-15",Table1[[#This Row],[Company Tenure]]&lt;=20, "15-20",Table1[[#This Row],[Company Tenure]]&gt;20,"Above 20")</f>
        <v>15-20</v>
      </c>
    </row>
    <row r="210" spans="1:16" x14ac:dyDescent="0.25">
      <c r="A210" t="s">
        <v>516</v>
      </c>
      <c r="B210" t="s">
        <v>47</v>
      </c>
      <c r="C210" t="s">
        <v>16</v>
      </c>
      <c r="D210" t="s">
        <v>23</v>
      </c>
      <c r="E210">
        <v>55</v>
      </c>
      <c r="F210" t="s">
        <v>133</v>
      </c>
      <c r="G210" t="s">
        <v>44</v>
      </c>
      <c r="H210" s="2">
        <v>55654</v>
      </c>
      <c r="I210" s="1">
        <v>38412</v>
      </c>
      <c r="J210" s="3">
        <v>21</v>
      </c>
      <c r="K210" t="s">
        <v>48</v>
      </c>
      <c r="L210" t="s">
        <v>11</v>
      </c>
      <c r="M210">
        <v>4</v>
      </c>
      <c r="N210" t="str" cm="1">
        <f t="array" ref="N210">_xlfn.IFS(AND(24&lt;=Table1[[#This Row],[Age]],Table1[[#This Row],[Age]]&lt;=30),"24-30",Table1[[#This Row],[Age]]&lt;=35,"31-35",Table1[[#This Row],[Age]]&lt;=40,"36-40",Table1[[#This Row],[Age]]&lt;=45,"41-45",Table1[[#This Row],[Age]]&lt;=50,"46-50",Table1[[#This Row],[Age]]&lt;=55,"51-55",Table1[[#This Row],[Age]]&lt;=60,"56-60",Table1[[#This Row],[Age]]&lt;=66,"61-66")</f>
        <v>51-55</v>
      </c>
      <c r="O210" t="s">
        <v>1077</v>
      </c>
      <c r="P210" t="str" cm="1">
        <f t="array" ref="P210">_xlfn.IFS(Table1[[#This Row],[Company Tenure]]&lt;=5,"1-5",Table1[[#This Row],[Company Tenure]]&lt;=10,"6-10",Table1[[#This Row],[Company Tenure]]&lt;=15,"11-15",Table1[[#This Row],[Company Tenure]]&lt;=20, "15-20",Table1[[#This Row],[Company Tenure]]&gt;20,"Above 20")</f>
        <v>Above 20</v>
      </c>
    </row>
    <row r="211" spans="1:16" x14ac:dyDescent="0.25">
      <c r="A211" t="s">
        <v>517</v>
      </c>
      <c r="B211" t="s">
        <v>476</v>
      </c>
      <c r="C211" t="s">
        <v>291</v>
      </c>
      <c r="D211" t="s">
        <v>8</v>
      </c>
      <c r="E211">
        <v>48</v>
      </c>
      <c r="F211" t="s">
        <v>313</v>
      </c>
      <c r="G211" t="s">
        <v>44</v>
      </c>
      <c r="H211" s="2">
        <v>87644.53</v>
      </c>
      <c r="I211" s="1">
        <v>39939</v>
      </c>
      <c r="J211" s="3">
        <v>17</v>
      </c>
      <c r="K211" t="s">
        <v>518</v>
      </c>
      <c r="L211" t="s">
        <v>4</v>
      </c>
      <c r="M211">
        <v>4</v>
      </c>
      <c r="N211" t="str" cm="1">
        <f t="array" ref="N211">_xlfn.IFS(AND(24&lt;=Table1[[#This Row],[Age]],Table1[[#This Row],[Age]]&lt;=30),"24-30",Table1[[#This Row],[Age]]&lt;=35,"31-35",Table1[[#This Row],[Age]]&lt;=40,"36-40",Table1[[#This Row],[Age]]&lt;=45,"41-45",Table1[[#This Row],[Age]]&lt;=50,"46-50",Table1[[#This Row],[Age]]&lt;=55,"51-55",Table1[[#This Row],[Age]]&lt;=60,"56-60",Table1[[#This Row],[Age]]&lt;=66,"61-66")</f>
        <v>46-50</v>
      </c>
      <c r="O211" t="s">
        <v>1077</v>
      </c>
      <c r="P211" t="str" cm="1">
        <f t="array" ref="P211">_xlfn.IFS(Table1[[#This Row],[Company Tenure]]&lt;=5,"1-5",Table1[[#This Row],[Company Tenure]]&lt;=10,"6-10",Table1[[#This Row],[Company Tenure]]&lt;=15,"11-15",Table1[[#This Row],[Company Tenure]]&lt;=20, "15-20",Table1[[#This Row],[Company Tenure]]&gt;20,"Above 20")</f>
        <v>15-20</v>
      </c>
    </row>
    <row r="212" spans="1:16" x14ac:dyDescent="0.25">
      <c r="A212" t="s">
        <v>519</v>
      </c>
      <c r="B212" t="s">
        <v>94</v>
      </c>
      <c r="C212" t="s">
        <v>59</v>
      </c>
      <c r="D212" t="s">
        <v>1</v>
      </c>
      <c r="E212">
        <v>52</v>
      </c>
      <c r="F212" t="s">
        <v>32</v>
      </c>
      <c r="G212" t="s">
        <v>17</v>
      </c>
      <c r="H212" s="2">
        <v>75022</v>
      </c>
      <c r="I212" s="1">
        <v>45449</v>
      </c>
      <c r="J212" s="3">
        <v>2</v>
      </c>
      <c r="K212" t="s">
        <v>520</v>
      </c>
      <c r="L212" t="s">
        <v>120</v>
      </c>
      <c r="M212">
        <v>2</v>
      </c>
      <c r="N212" t="str" cm="1">
        <f t="array" ref="N212">_xlfn.IFS(AND(24&lt;=Table1[[#This Row],[Age]],Table1[[#This Row],[Age]]&lt;=30),"24-30",Table1[[#This Row],[Age]]&lt;=35,"31-35",Table1[[#This Row],[Age]]&lt;=40,"36-40",Table1[[#This Row],[Age]]&lt;=45,"41-45",Table1[[#This Row],[Age]]&lt;=50,"46-50",Table1[[#This Row],[Age]]&lt;=55,"51-55",Table1[[#This Row],[Age]]&lt;=60,"56-60",Table1[[#This Row],[Age]]&lt;=66,"61-66")</f>
        <v>51-55</v>
      </c>
      <c r="O212" t="s">
        <v>1077</v>
      </c>
      <c r="P212" t="str" cm="1">
        <f t="array" ref="P212">_xlfn.IFS(Table1[[#This Row],[Company Tenure]]&lt;=5,"1-5",Table1[[#This Row],[Company Tenure]]&lt;=10,"6-10",Table1[[#This Row],[Company Tenure]]&lt;=15,"11-15",Table1[[#This Row],[Company Tenure]]&lt;=20, "15-20",Table1[[#This Row],[Company Tenure]]&gt;20,"Above 20")</f>
        <v>1-5</v>
      </c>
    </row>
    <row r="213" spans="1:16" x14ac:dyDescent="0.25">
      <c r="A213" t="s">
        <v>521</v>
      </c>
      <c r="B213" t="s">
        <v>30</v>
      </c>
      <c r="C213" t="s">
        <v>169</v>
      </c>
      <c r="D213" t="s">
        <v>23</v>
      </c>
      <c r="E213">
        <v>30</v>
      </c>
      <c r="F213" t="s">
        <v>133</v>
      </c>
      <c r="G213" t="s">
        <v>44</v>
      </c>
      <c r="H213" s="2">
        <v>54529.24</v>
      </c>
      <c r="I213" s="1">
        <v>43908</v>
      </c>
      <c r="J213" s="3">
        <v>6</v>
      </c>
      <c r="K213" t="s">
        <v>522</v>
      </c>
      <c r="L213" t="s">
        <v>28</v>
      </c>
      <c r="M213">
        <v>5</v>
      </c>
      <c r="N213" t="str" cm="1">
        <f t="array" ref="N213">_xlfn.IFS(AND(24&lt;=Table1[[#This Row],[Age]],Table1[[#This Row],[Age]]&lt;=30),"24-30",Table1[[#This Row],[Age]]&lt;=35,"31-35",Table1[[#This Row],[Age]]&lt;=40,"36-40",Table1[[#This Row],[Age]]&lt;=45,"41-45",Table1[[#This Row],[Age]]&lt;=50,"46-50",Table1[[#This Row],[Age]]&lt;=55,"51-55",Table1[[#This Row],[Age]]&lt;=60,"56-60",Table1[[#This Row],[Age]]&lt;=66,"61-66")</f>
        <v>24-30</v>
      </c>
      <c r="O213" t="s">
        <v>1077</v>
      </c>
      <c r="P213" t="str" cm="1">
        <f t="array" ref="P213">_xlfn.IFS(Table1[[#This Row],[Company Tenure]]&lt;=5,"1-5",Table1[[#This Row],[Company Tenure]]&lt;=10,"6-10",Table1[[#This Row],[Company Tenure]]&lt;=15,"11-15",Table1[[#This Row],[Company Tenure]]&lt;=20, "15-20",Table1[[#This Row],[Company Tenure]]&gt;20,"Above 20")</f>
        <v>6-10</v>
      </c>
    </row>
    <row r="214" spans="1:16" x14ac:dyDescent="0.25">
      <c r="A214" t="s">
        <v>523</v>
      </c>
      <c r="B214" t="s">
        <v>374</v>
      </c>
      <c r="C214" t="s">
        <v>269</v>
      </c>
      <c r="D214" t="s">
        <v>1</v>
      </c>
      <c r="E214">
        <v>52</v>
      </c>
      <c r="F214" t="s">
        <v>203</v>
      </c>
      <c r="G214" t="s">
        <v>2</v>
      </c>
      <c r="H214" s="2">
        <v>84375</v>
      </c>
      <c r="I214" s="1">
        <v>38623</v>
      </c>
      <c r="J214" s="3">
        <v>21</v>
      </c>
      <c r="K214" t="s">
        <v>524</v>
      </c>
      <c r="L214" t="s">
        <v>11</v>
      </c>
      <c r="M214">
        <v>5</v>
      </c>
      <c r="N214" t="str" cm="1">
        <f t="array" ref="N214">_xlfn.IFS(AND(24&lt;=Table1[[#This Row],[Age]],Table1[[#This Row],[Age]]&lt;=30),"24-30",Table1[[#This Row],[Age]]&lt;=35,"31-35",Table1[[#This Row],[Age]]&lt;=40,"36-40",Table1[[#This Row],[Age]]&lt;=45,"41-45",Table1[[#This Row],[Age]]&lt;=50,"46-50",Table1[[#This Row],[Age]]&lt;=55,"51-55",Table1[[#This Row],[Age]]&lt;=60,"56-60",Table1[[#This Row],[Age]]&lt;=66,"61-66")</f>
        <v>51-55</v>
      </c>
      <c r="O214" t="s">
        <v>1077</v>
      </c>
      <c r="P214" t="str" cm="1">
        <f t="array" ref="P214">_xlfn.IFS(Table1[[#This Row],[Company Tenure]]&lt;=5,"1-5",Table1[[#This Row],[Company Tenure]]&lt;=10,"6-10",Table1[[#This Row],[Company Tenure]]&lt;=15,"11-15",Table1[[#This Row],[Company Tenure]]&lt;=20, "15-20",Table1[[#This Row],[Company Tenure]]&gt;20,"Above 20")</f>
        <v>Above 20</v>
      </c>
    </row>
    <row r="215" spans="1:16" x14ac:dyDescent="0.25">
      <c r="A215" t="s">
        <v>525</v>
      </c>
      <c r="B215" t="s">
        <v>56</v>
      </c>
      <c r="C215" t="s">
        <v>141</v>
      </c>
      <c r="D215" t="s">
        <v>8</v>
      </c>
      <c r="E215">
        <v>49</v>
      </c>
      <c r="F215" t="s">
        <v>32</v>
      </c>
      <c r="G215" t="s">
        <v>44</v>
      </c>
      <c r="H215" s="2">
        <v>66820</v>
      </c>
      <c r="I215" s="1">
        <v>41165</v>
      </c>
      <c r="J215" s="3">
        <v>14</v>
      </c>
      <c r="K215" t="s">
        <v>526</v>
      </c>
      <c r="L215" t="s">
        <v>120</v>
      </c>
      <c r="M215">
        <v>3</v>
      </c>
      <c r="N215" t="str" cm="1">
        <f t="array" ref="N215">_xlfn.IFS(AND(24&lt;=Table1[[#This Row],[Age]],Table1[[#This Row],[Age]]&lt;=30),"24-30",Table1[[#This Row],[Age]]&lt;=35,"31-35",Table1[[#This Row],[Age]]&lt;=40,"36-40",Table1[[#This Row],[Age]]&lt;=45,"41-45",Table1[[#This Row],[Age]]&lt;=50,"46-50",Table1[[#This Row],[Age]]&lt;=55,"51-55",Table1[[#This Row],[Age]]&lt;=60,"56-60",Table1[[#This Row],[Age]]&lt;=66,"61-66")</f>
        <v>46-50</v>
      </c>
      <c r="O215" t="s">
        <v>1077</v>
      </c>
      <c r="P215" t="str" cm="1">
        <f t="array" ref="P215">_xlfn.IFS(Table1[[#This Row],[Company Tenure]]&lt;=5,"1-5",Table1[[#This Row],[Company Tenure]]&lt;=10,"6-10",Table1[[#This Row],[Company Tenure]]&lt;=15,"11-15",Table1[[#This Row],[Company Tenure]]&lt;=20, "15-20",Table1[[#This Row],[Company Tenure]]&gt;20,"Above 20")</f>
        <v>11-15</v>
      </c>
    </row>
    <row r="216" spans="1:16" x14ac:dyDescent="0.25">
      <c r="A216" t="s">
        <v>527</v>
      </c>
      <c r="B216" t="s">
        <v>103</v>
      </c>
      <c r="C216" t="s">
        <v>291</v>
      </c>
      <c r="D216" t="s">
        <v>23</v>
      </c>
      <c r="E216">
        <v>40</v>
      </c>
      <c r="F216" t="s">
        <v>36</v>
      </c>
      <c r="G216" t="s">
        <v>2</v>
      </c>
      <c r="H216" s="2">
        <v>122259</v>
      </c>
      <c r="I216" s="1">
        <v>39544</v>
      </c>
      <c r="J216" s="3">
        <v>18</v>
      </c>
      <c r="K216" t="s">
        <v>528</v>
      </c>
      <c r="L216" t="s">
        <v>28</v>
      </c>
      <c r="M216">
        <v>3</v>
      </c>
      <c r="N216" t="str" cm="1">
        <f t="array" ref="N216">_xlfn.IFS(AND(24&lt;=Table1[[#This Row],[Age]],Table1[[#This Row],[Age]]&lt;=30),"24-30",Table1[[#This Row],[Age]]&lt;=35,"31-35",Table1[[#This Row],[Age]]&lt;=40,"36-40",Table1[[#This Row],[Age]]&lt;=45,"41-45",Table1[[#This Row],[Age]]&lt;=50,"46-50",Table1[[#This Row],[Age]]&lt;=55,"51-55",Table1[[#This Row],[Age]]&lt;=60,"56-60",Table1[[#This Row],[Age]]&lt;=66,"61-66")</f>
        <v>36-40</v>
      </c>
      <c r="O216" t="s">
        <v>1074</v>
      </c>
      <c r="P216" t="str" cm="1">
        <f t="array" ref="P216">_xlfn.IFS(Table1[[#This Row],[Company Tenure]]&lt;=5,"1-5",Table1[[#This Row],[Company Tenure]]&lt;=10,"6-10",Table1[[#This Row],[Company Tenure]]&lt;=15,"11-15",Table1[[#This Row],[Company Tenure]]&lt;=20, "15-20",Table1[[#This Row],[Company Tenure]]&gt;20,"Above 20")</f>
        <v>15-20</v>
      </c>
    </row>
    <row r="217" spans="1:16" x14ac:dyDescent="0.25">
      <c r="A217" t="s">
        <v>529</v>
      </c>
      <c r="B217" t="s">
        <v>530</v>
      </c>
      <c r="C217" t="s">
        <v>263</v>
      </c>
      <c r="D217" t="s">
        <v>1</v>
      </c>
      <c r="E217">
        <v>42</v>
      </c>
      <c r="F217" t="s">
        <v>313</v>
      </c>
      <c r="G217" t="s">
        <v>105</v>
      </c>
      <c r="H217" s="2">
        <v>164038</v>
      </c>
      <c r="I217" s="1">
        <v>44360</v>
      </c>
      <c r="J217" s="3">
        <v>5</v>
      </c>
      <c r="K217" t="s">
        <v>531</v>
      </c>
      <c r="L217" t="s">
        <v>25</v>
      </c>
      <c r="M217">
        <v>5</v>
      </c>
      <c r="N217" t="str" cm="1">
        <f t="array" ref="N217">_xlfn.IFS(AND(24&lt;=Table1[[#This Row],[Age]],Table1[[#This Row],[Age]]&lt;=30),"24-30",Table1[[#This Row],[Age]]&lt;=35,"31-35",Table1[[#This Row],[Age]]&lt;=40,"36-40",Table1[[#This Row],[Age]]&lt;=45,"41-45",Table1[[#This Row],[Age]]&lt;=50,"46-50",Table1[[#This Row],[Age]]&lt;=55,"51-55",Table1[[#This Row],[Age]]&lt;=60,"56-60",Table1[[#This Row],[Age]]&lt;=66,"61-66")</f>
        <v>41-45</v>
      </c>
      <c r="O217" t="s">
        <v>1078</v>
      </c>
      <c r="P217" t="str" cm="1">
        <f t="array" ref="P217">_xlfn.IFS(Table1[[#This Row],[Company Tenure]]&lt;=5,"1-5",Table1[[#This Row],[Company Tenure]]&lt;=10,"6-10",Table1[[#This Row],[Company Tenure]]&lt;=15,"11-15",Table1[[#This Row],[Company Tenure]]&lt;=20, "15-20",Table1[[#This Row],[Company Tenure]]&gt;20,"Above 20")</f>
        <v>1-5</v>
      </c>
    </row>
    <row r="218" spans="1:16" x14ac:dyDescent="0.25">
      <c r="A218" t="s">
        <v>532</v>
      </c>
      <c r="B218" t="s">
        <v>229</v>
      </c>
      <c r="C218" t="s">
        <v>59</v>
      </c>
      <c r="D218" t="s">
        <v>8</v>
      </c>
      <c r="E218">
        <v>49</v>
      </c>
      <c r="F218" t="s">
        <v>1066</v>
      </c>
      <c r="G218" t="s">
        <v>216</v>
      </c>
      <c r="H218" s="2">
        <v>243206</v>
      </c>
      <c r="I218" s="1">
        <v>45247</v>
      </c>
      <c r="J218" s="3">
        <v>2</v>
      </c>
      <c r="K218" t="s">
        <v>533</v>
      </c>
      <c r="L218" t="s">
        <v>120</v>
      </c>
      <c r="M218">
        <v>2</v>
      </c>
      <c r="N218" t="str" cm="1">
        <f t="array" ref="N218">_xlfn.IFS(AND(24&lt;=Table1[[#This Row],[Age]],Table1[[#This Row],[Age]]&lt;=30),"24-30",Table1[[#This Row],[Age]]&lt;=35,"31-35",Table1[[#This Row],[Age]]&lt;=40,"36-40",Table1[[#This Row],[Age]]&lt;=45,"41-45",Table1[[#This Row],[Age]]&lt;=50,"46-50",Table1[[#This Row],[Age]]&lt;=55,"51-55",Table1[[#This Row],[Age]]&lt;=60,"56-60",Table1[[#This Row],[Age]]&lt;=66,"61-66")</f>
        <v>46-50</v>
      </c>
      <c r="O218" t="s">
        <v>1079</v>
      </c>
      <c r="P218" t="str" cm="1">
        <f t="array" ref="P218">_xlfn.IFS(Table1[[#This Row],[Company Tenure]]&lt;=5,"1-5",Table1[[#This Row],[Company Tenure]]&lt;=10,"6-10",Table1[[#This Row],[Company Tenure]]&lt;=15,"11-15",Table1[[#This Row],[Company Tenure]]&lt;=20, "15-20",Table1[[#This Row],[Company Tenure]]&gt;20,"Above 20")</f>
        <v>1-5</v>
      </c>
    </row>
    <row r="219" spans="1:16" x14ac:dyDescent="0.25">
      <c r="A219" t="s">
        <v>534</v>
      </c>
      <c r="B219" t="s">
        <v>127</v>
      </c>
      <c r="C219" t="s">
        <v>16</v>
      </c>
      <c r="D219" t="s">
        <v>8</v>
      </c>
      <c r="E219">
        <v>48</v>
      </c>
      <c r="F219" t="s">
        <v>313</v>
      </c>
      <c r="G219" t="s">
        <v>2</v>
      </c>
      <c r="H219" s="2">
        <v>131470</v>
      </c>
      <c r="I219" s="1">
        <v>41682</v>
      </c>
      <c r="J219" s="3">
        <v>12</v>
      </c>
      <c r="K219" t="s">
        <v>535</v>
      </c>
      <c r="L219" t="s">
        <v>39</v>
      </c>
      <c r="M219">
        <v>3</v>
      </c>
      <c r="N219" t="str" cm="1">
        <f t="array" ref="N219">_xlfn.IFS(AND(24&lt;=Table1[[#This Row],[Age]],Table1[[#This Row],[Age]]&lt;=30),"24-30",Table1[[#This Row],[Age]]&lt;=35,"31-35",Table1[[#This Row],[Age]]&lt;=40,"36-40",Table1[[#This Row],[Age]]&lt;=45,"41-45",Table1[[#This Row],[Age]]&lt;=50,"46-50",Table1[[#This Row],[Age]]&lt;=55,"51-55",Table1[[#This Row],[Age]]&lt;=60,"56-60",Table1[[#This Row],[Age]]&lt;=66,"61-66")</f>
        <v>46-50</v>
      </c>
      <c r="O219" t="s">
        <v>1074</v>
      </c>
      <c r="P219" t="str" cm="1">
        <f t="array" ref="P219">_xlfn.IFS(Table1[[#This Row],[Company Tenure]]&lt;=5,"1-5",Table1[[#This Row],[Company Tenure]]&lt;=10,"6-10",Table1[[#This Row],[Company Tenure]]&lt;=15,"11-15",Table1[[#This Row],[Company Tenure]]&lt;=20, "15-20",Table1[[#This Row],[Company Tenure]]&gt;20,"Above 20")</f>
        <v>11-15</v>
      </c>
    </row>
    <row r="220" spans="1:16" x14ac:dyDescent="0.25">
      <c r="A220" t="s">
        <v>536</v>
      </c>
      <c r="B220" t="s">
        <v>6</v>
      </c>
      <c r="C220" t="s">
        <v>83</v>
      </c>
      <c r="D220" t="s">
        <v>1</v>
      </c>
      <c r="E220">
        <v>25</v>
      </c>
      <c r="F220" t="s">
        <v>154</v>
      </c>
      <c r="G220" t="s">
        <v>100</v>
      </c>
      <c r="H220" s="2">
        <v>36674</v>
      </c>
      <c r="I220" s="1">
        <v>45263</v>
      </c>
      <c r="J220" s="3">
        <v>2</v>
      </c>
      <c r="K220" t="s">
        <v>84</v>
      </c>
      <c r="L220" t="s">
        <v>54</v>
      </c>
      <c r="M220">
        <v>3</v>
      </c>
      <c r="N220" t="str" cm="1">
        <f t="array" ref="N220">_xlfn.IFS(AND(24&lt;=Table1[[#This Row],[Age]],Table1[[#This Row],[Age]]&lt;=30),"24-30",Table1[[#This Row],[Age]]&lt;=35,"31-35",Table1[[#This Row],[Age]]&lt;=40,"36-40",Table1[[#This Row],[Age]]&lt;=45,"41-45",Table1[[#This Row],[Age]]&lt;=50,"46-50",Table1[[#This Row],[Age]]&lt;=55,"51-55",Table1[[#This Row],[Age]]&lt;=60,"56-60",Table1[[#This Row],[Age]]&lt;=66,"61-66")</f>
        <v>24-30</v>
      </c>
      <c r="O220" t="s">
        <v>1076</v>
      </c>
      <c r="P220" t="str" cm="1">
        <f t="array" ref="P220">_xlfn.IFS(Table1[[#This Row],[Company Tenure]]&lt;=5,"1-5",Table1[[#This Row],[Company Tenure]]&lt;=10,"6-10",Table1[[#This Row],[Company Tenure]]&lt;=15,"11-15",Table1[[#This Row],[Company Tenure]]&lt;=20, "15-20",Table1[[#This Row],[Company Tenure]]&gt;20,"Above 20")</f>
        <v>1-5</v>
      </c>
    </row>
    <row r="221" spans="1:16" x14ac:dyDescent="0.25">
      <c r="A221" t="s">
        <v>537</v>
      </c>
      <c r="B221" t="s">
        <v>282</v>
      </c>
      <c r="C221" t="s">
        <v>269</v>
      </c>
      <c r="D221" t="s">
        <v>23</v>
      </c>
      <c r="E221">
        <v>33</v>
      </c>
      <c r="F221" t="s">
        <v>313</v>
      </c>
      <c r="G221" t="s">
        <v>17</v>
      </c>
      <c r="H221" s="2">
        <v>89248</v>
      </c>
      <c r="I221" s="1">
        <v>43472</v>
      </c>
      <c r="J221" s="3">
        <v>7</v>
      </c>
      <c r="K221" t="s">
        <v>538</v>
      </c>
      <c r="L221" t="s">
        <v>107</v>
      </c>
      <c r="M221">
        <v>3</v>
      </c>
      <c r="N221" t="str" cm="1">
        <f t="array" ref="N221">_xlfn.IFS(AND(24&lt;=Table1[[#This Row],[Age]],Table1[[#This Row],[Age]]&lt;=30),"24-30",Table1[[#This Row],[Age]]&lt;=35,"31-35",Table1[[#This Row],[Age]]&lt;=40,"36-40",Table1[[#This Row],[Age]]&lt;=45,"41-45",Table1[[#This Row],[Age]]&lt;=50,"46-50",Table1[[#This Row],[Age]]&lt;=55,"51-55",Table1[[#This Row],[Age]]&lt;=60,"56-60",Table1[[#This Row],[Age]]&lt;=66,"61-66")</f>
        <v>31-35</v>
      </c>
      <c r="O221" t="s">
        <v>1077</v>
      </c>
      <c r="P221" t="str" cm="1">
        <f t="array" ref="P221">_xlfn.IFS(Table1[[#This Row],[Company Tenure]]&lt;=5,"1-5",Table1[[#This Row],[Company Tenure]]&lt;=10,"6-10",Table1[[#This Row],[Company Tenure]]&lt;=15,"11-15",Table1[[#This Row],[Company Tenure]]&lt;=20, "15-20",Table1[[#This Row],[Company Tenure]]&gt;20,"Above 20")</f>
        <v>6-10</v>
      </c>
    </row>
    <row r="222" spans="1:16" x14ac:dyDescent="0.25">
      <c r="A222" t="s">
        <v>539</v>
      </c>
      <c r="B222" t="s">
        <v>221</v>
      </c>
      <c r="C222" t="s">
        <v>427</v>
      </c>
      <c r="D222" t="s">
        <v>1</v>
      </c>
      <c r="E222">
        <v>47</v>
      </c>
      <c r="F222" t="s">
        <v>36</v>
      </c>
      <c r="G222" t="s">
        <v>63</v>
      </c>
      <c r="H222" s="2">
        <v>88537</v>
      </c>
      <c r="I222" s="1">
        <v>38697</v>
      </c>
      <c r="J222" s="3">
        <v>20</v>
      </c>
      <c r="K222" t="s">
        <v>540</v>
      </c>
      <c r="L222" t="s">
        <v>14</v>
      </c>
      <c r="M222">
        <v>4</v>
      </c>
      <c r="N222" t="str" cm="1">
        <f t="array" ref="N222">_xlfn.IFS(AND(24&lt;=Table1[[#This Row],[Age]],Table1[[#This Row],[Age]]&lt;=30),"24-30",Table1[[#This Row],[Age]]&lt;=35,"31-35",Table1[[#This Row],[Age]]&lt;=40,"36-40",Table1[[#This Row],[Age]]&lt;=45,"41-45",Table1[[#This Row],[Age]]&lt;=50,"46-50",Table1[[#This Row],[Age]]&lt;=55,"51-55",Table1[[#This Row],[Age]]&lt;=60,"56-60",Table1[[#This Row],[Age]]&lt;=66,"61-66")</f>
        <v>46-50</v>
      </c>
      <c r="O222" t="s">
        <v>1077</v>
      </c>
      <c r="P222" t="str" cm="1">
        <f t="array" ref="P222">_xlfn.IFS(Table1[[#This Row],[Company Tenure]]&lt;=5,"1-5",Table1[[#This Row],[Company Tenure]]&lt;=10,"6-10",Table1[[#This Row],[Company Tenure]]&lt;=15,"11-15",Table1[[#This Row],[Company Tenure]]&lt;=20, "15-20",Table1[[#This Row],[Company Tenure]]&gt;20,"Above 20")</f>
        <v>15-20</v>
      </c>
    </row>
    <row r="223" spans="1:16" x14ac:dyDescent="0.25">
      <c r="A223" t="s">
        <v>541</v>
      </c>
      <c r="B223" t="s">
        <v>30</v>
      </c>
      <c r="C223" t="s">
        <v>402</v>
      </c>
      <c r="D223" t="s">
        <v>1</v>
      </c>
      <c r="E223">
        <v>41</v>
      </c>
      <c r="F223" t="s">
        <v>142</v>
      </c>
      <c r="G223" t="s">
        <v>37</v>
      </c>
      <c r="H223" s="2">
        <v>73797</v>
      </c>
      <c r="I223" s="1">
        <v>44443</v>
      </c>
      <c r="J223" s="3">
        <v>5</v>
      </c>
      <c r="K223" t="s">
        <v>542</v>
      </c>
      <c r="L223" t="s">
        <v>120</v>
      </c>
      <c r="M223">
        <v>4</v>
      </c>
      <c r="N223" t="str" cm="1">
        <f t="array" ref="N223">_xlfn.IFS(AND(24&lt;=Table1[[#This Row],[Age]],Table1[[#This Row],[Age]]&lt;=30),"24-30",Table1[[#This Row],[Age]]&lt;=35,"31-35",Table1[[#This Row],[Age]]&lt;=40,"36-40",Table1[[#This Row],[Age]]&lt;=45,"41-45",Table1[[#This Row],[Age]]&lt;=50,"46-50",Table1[[#This Row],[Age]]&lt;=55,"51-55",Table1[[#This Row],[Age]]&lt;=60,"56-60",Table1[[#This Row],[Age]]&lt;=66,"61-66")</f>
        <v>41-45</v>
      </c>
      <c r="O223" t="s">
        <v>1077</v>
      </c>
      <c r="P223" t="str" cm="1">
        <f t="array" ref="P223">_xlfn.IFS(Table1[[#This Row],[Company Tenure]]&lt;=5,"1-5",Table1[[#This Row],[Company Tenure]]&lt;=10,"6-10",Table1[[#This Row],[Company Tenure]]&lt;=15,"11-15",Table1[[#This Row],[Company Tenure]]&lt;=20, "15-20",Table1[[#This Row],[Company Tenure]]&gt;20,"Above 20")</f>
        <v>1-5</v>
      </c>
    </row>
    <row r="224" spans="1:16" x14ac:dyDescent="0.25">
      <c r="A224" t="s">
        <v>543</v>
      </c>
      <c r="B224" t="s">
        <v>184</v>
      </c>
      <c r="C224" t="s">
        <v>91</v>
      </c>
      <c r="D224" t="s">
        <v>23</v>
      </c>
      <c r="E224">
        <v>37</v>
      </c>
      <c r="F224" t="s">
        <v>36</v>
      </c>
      <c r="G224" t="s">
        <v>216</v>
      </c>
      <c r="H224" s="2">
        <v>252868</v>
      </c>
      <c r="I224" s="1">
        <v>40914</v>
      </c>
      <c r="J224" s="3">
        <v>14</v>
      </c>
      <c r="K224" t="s">
        <v>544</v>
      </c>
      <c r="L224" t="s">
        <v>25</v>
      </c>
      <c r="M224">
        <v>3</v>
      </c>
      <c r="N224" t="str" cm="1">
        <f t="array" ref="N224">_xlfn.IFS(AND(24&lt;=Table1[[#This Row],[Age]],Table1[[#This Row],[Age]]&lt;=30),"24-30",Table1[[#This Row],[Age]]&lt;=35,"31-35",Table1[[#This Row],[Age]]&lt;=40,"36-40",Table1[[#This Row],[Age]]&lt;=45,"41-45",Table1[[#This Row],[Age]]&lt;=50,"46-50",Table1[[#This Row],[Age]]&lt;=55,"51-55",Table1[[#This Row],[Age]]&lt;=60,"56-60",Table1[[#This Row],[Age]]&lt;=66,"61-66")</f>
        <v>36-40</v>
      </c>
      <c r="O224" t="s">
        <v>1079</v>
      </c>
      <c r="P224" t="str" cm="1">
        <f t="array" ref="P224">_xlfn.IFS(Table1[[#This Row],[Company Tenure]]&lt;=5,"1-5",Table1[[#This Row],[Company Tenure]]&lt;=10,"6-10",Table1[[#This Row],[Company Tenure]]&lt;=15,"11-15",Table1[[#This Row],[Company Tenure]]&lt;=20, "15-20",Table1[[#This Row],[Company Tenure]]&gt;20,"Above 20")</f>
        <v>11-15</v>
      </c>
    </row>
    <row r="225" spans="1:16" x14ac:dyDescent="0.25">
      <c r="A225" t="s">
        <v>545</v>
      </c>
      <c r="B225" t="s">
        <v>316</v>
      </c>
      <c r="C225" t="s">
        <v>222</v>
      </c>
      <c r="D225" t="s">
        <v>8</v>
      </c>
      <c r="E225">
        <v>43</v>
      </c>
      <c r="F225" t="s">
        <v>295</v>
      </c>
      <c r="G225" t="s">
        <v>63</v>
      </c>
      <c r="H225" s="2">
        <v>77770.5</v>
      </c>
      <c r="I225" s="1">
        <v>43192</v>
      </c>
      <c r="J225" s="3">
        <v>8</v>
      </c>
      <c r="K225" t="s">
        <v>546</v>
      </c>
      <c r="L225" t="s">
        <v>14</v>
      </c>
      <c r="M225">
        <v>4</v>
      </c>
      <c r="N225" t="str" cm="1">
        <f t="array" ref="N225">_xlfn.IFS(AND(24&lt;=Table1[[#This Row],[Age]],Table1[[#This Row],[Age]]&lt;=30),"24-30",Table1[[#This Row],[Age]]&lt;=35,"31-35",Table1[[#This Row],[Age]]&lt;=40,"36-40",Table1[[#This Row],[Age]]&lt;=45,"41-45",Table1[[#This Row],[Age]]&lt;=50,"46-50",Table1[[#This Row],[Age]]&lt;=55,"51-55",Table1[[#This Row],[Age]]&lt;=60,"56-60",Table1[[#This Row],[Age]]&lt;=66,"61-66")</f>
        <v>41-45</v>
      </c>
      <c r="O225" t="s">
        <v>1077</v>
      </c>
      <c r="P225" t="str" cm="1">
        <f t="array" ref="P225">_xlfn.IFS(Table1[[#This Row],[Company Tenure]]&lt;=5,"1-5",Table1[[#This Row],[Company Tenure]]&lt;=10,"6-10",Table1[[#This Row],[Company Tenure]]&lt;=15,"11-15",Table1[[#This Row],[Company Tenure]]&lt;=20, "15-20",Table1[[#This Row],[Company Tenure]]&gt;20,"Above 20")</f>
        <v>6-10</v>
      </c>
    </row>
    <row r="226" spans="1:16" x14ac:dyDescent="0.25">
      <c r="A226" t="s">
        <v>547</v>
      </c>
      <c r="B226" t="s">
        <v>30</v>
      </c>
      <c r="C226" t="s">
        <v>22</v>
      </c>
      <c r="D226" t="s">
        <v>23</v>
      </c>
      <c r="E226">
        <v>66</v>
      </c>
      <c r="F226" t="s">
        <v>133</v>
      </c>
      <c r="G226" t="s">
        <v>63</v>
      </c>
      <c r="H226" s="2">
        <v>62522</v>
      </c>
      <c r="I226" s="1">
        <v>44050</v>
      </c>
      <c r="J226" s="3">
        <v>6</v>
      </c>
      <c r="K226" t="s">
        <v>548</v>
      </c>
      <c r="L226" t="s">
        <v>14</v>
      </c>
      <c r="M226">
        <v>3</v>
      </c>
      <c r="N226" t="str" cm="1">
        <f t="array" ref="N226">_xlfn.IFS(AND(24&lt;=Table1[[#This Row],[Age]],Table1[[#This Row],[Age]]&lt;=30),"24-30",Table1[[#This Row],[Age]]&lt;=35,"31-35",Table1[[#This Row],[Age]]&lt;=40,"36-40",Table1[[#This Row],[Age]]&lt;=45,"41-45",Table1[[#This Row],[Age]]&lt;=50,"46-50",Table1[[#This Row],[Age]]&lt;=55,"51-55",Table1[[#This Row],[Age]]&lt;=60,"56-60",Table1[[#This Row],[Age]]&lt;=66,"61-66")</f>
        <v>61-66</v>
      </c>
      <c r="O226" t="s">
        <v>1077</v>
      </c>
      <c r="P226" t="str" cm="1">
        <f t="array" ref="P226">_xlfn.IFS(Table1[[#This Row],[Company Tenure]]&lt;=5,"1-5",Table1[[#This Row],[Company Tenure]]&lt;=10,"6-10",Table1[[#This Row],[Company Tenure]]&lt;=15,"11-15",Table1[[#This Row],[Company Tenure]]&lt;=20, "15-20",Table1[[#This Row],[Company Tenure]]&gt;20,"Above 20")</f>
        <v>6-10</v>
      </c>
    </row>
    <row r="227" spans="1:16" x14ac:dyDescent="0.25">
      <c r="A227" t="s">
        <v>549</v>
      </c>
      <c r="B227" t="s">
        <v>476</v>
      </c>
      <c r="C227" t="s">
        <v>962</v>
      </c>
      <c r="D227" t="s">
        <v>8</v>
      </c>
      <c r="E227">
        <v>45</v>
      </c>
      <c r="F227" t="s">
        <v>133</v>
      </c>
      <c r="G227" t="s">
        <v>44</v>
      </c>
      <c r="H227" s="2">
        <v>53648</v>
      </c>
      <c r="I227" s="1">
        <v>40628</v>
      </c>
      <c r="J227" s="3">
        <v>15</v>
      </c>
      <c r="K227" t="s">
        <v>550</v>
      </c>
      <c r="L227" t="s">
        <v>120</v>
      </c>
      <c r="M227">
        <v>3</v>
      </c>
      <c r="N227" t="str" cm="1">
        <f t="array" ref="N227">_xlfn.IFS(AND(24&lt;=Table1[[#This Row],[Age]],Table1[[#This Row],[Age]]&lt;=30),"24-30",Table1[[#This Row],[Age]]&lt;=35,"31-35",Table1[[#This Row],[Age]]&lt;=40,"36-40",Table1[[#This Row],[Age]]&lt;=45,"41-45",Table1[[#This Row],[Age]]&lt;=50,"46-50",Table1[[#This Row],[Age]]&lt;=55,"51-55",Table1[[#This Row],[Age]]&lt;=60,"56-60",Table1[[#This Row],[Age]]&lt;=66,"61-66")</f>
        <v>41-45</v>
      </c>
      <c r="O227" t="s">
        <v>1077</v>
      </c>
      <c r="P227" t="str" cm="1">
        <f t="array" ref="P227">_xlfn.IFS(Table1[[#This Row],[Company Tenure]]&lt;=5,"1-5",Table1[[#This Row],[Company Tenure]]&lt;=10,"6-10",Table1[[#This Row],[Company Tenure]]&lt;=15,"11-15",Table1[[#This Row],[Company Tenure]]&lt;=20, "15-20",Table1[[#This Row],[Company Tenure]]&gt;20,"Above 20")</f>
        <v>11-15</v>
      </c>
    </row>
    <row r="228" spans="1:16" x14ac:dyDescent="0.25">
      <c r="A228" t="s">
        <v>551</v>
      </c>
      <c r="B228" t="s">
        <v>624</v>
      </c>
      <c r="C228" t="s">
        <v>141</v>
      </c>
      <c r="D228" t="s">
        <v>8</v>
      </c>
      <c r="E228">
        <v>32</v>
      </c>
      <c r="F228" t="s">
        <v>36</v>
      </c>
      <c r="G228" t="s">
        <v>17</v>
      </c>
      <c r="H228" s="2">
        <v>92495</v>
      </c>
      <c r="I228" s="1">
        <v>42635</v>
      </c>
      <c r="J228" s="3">
        <v>10</v>
      </c>
      <c r="K228" t="s">
        <v>552</v>
      </c>
      <c r="L228" t="s">
        <v>49</v>
      </c>
      <c r="M228">
        <v>1</v>
      </c>
      <c r="N228" t="str" cm="1">
        <f t="array" ref="N228">_xlfn.IFS(AND(24&lt;=Table1[[#This Row],[Age]],Table1[[#This Row],[Age]]&lt;=30),"24-30",Table1[[#This Row],[Age]]&lt;=35,"31-35",Table1[[#This Row],[Age]]&lt;=40,"36-40",Table1[[#This Row],[Age]]&lt;=45,"41-45",Table1[[#This Row],[Age]]&lt;=50,"46-50",Table1[[#This Row],[Age]]&lt;=55,"51-55",Table1[[#This Row],[Age]]&lt;=60,"56-60",Table1[[#This Row],[Age]]&lt;=66,"61-66")</f>
        <v>31-35</v>
      </c>
      <c r="O228" t="s">
        <v>1077</v>
      </c>
      <c r="P228" t="str" cm="1">
        <f t="array" ref="P228">_xlfn.IFS(Table1[[#This Row],[Company Tenure]]&lt;=5,"1-5",Table1[[#This Row],[Company Tenure]]&lt;=10,"6-10",Table1[[#This Row],[Company Tenure]]&lt;=15,"11-15",Table1[[#This Row],[Company Tenure]]&lt;=20, "15-20",Table1[[#This Row],[Company Tenure]]&gt;20,"Above 20")</f>
        <v>6-10</v>
      </c>
    </row>
    <row r="229" spans="1:16" x14ac:dyDescent="0.25">
      <c r="A229" t="s">
        <v>553</v>
      </c>
      <c r="B229" t="s">
        <v>30</v>
      </c>
      <c r="C229" t="s">
        <v>91</v>
      </c>
      <c r="D229" t="s">
        <v>8</v>
      </c>
      <c r="E229">
        <v>44</v>
      </c>
      <c r="F229" t="s">
        <v>32</v>
      </c>
      <c r="G229" t="s">
        <v>17</v>
      </c>
      <c r="H229" s="2">
        <v>72158</v>
      </c>
      <c r="I229" s="1">
        <v>40083</v>
      </c>
      <c r="J229" s="3">
        <v>17</v>
      </c>
      <c r="K229" t="s">
        <v>554</v>
      </c>
      <c r="L229" t="s">
        <v>85</v>
      </c>
      <c r="M229">
        <v>3</v>
      </c>
      <c r="N229" t="str" cm="1">
        <f t="array" ref="N229">_xlfn.IFS(AND(24&lt;=Table1[[#This Row],[Age]],Table1[[#This Row],[Age]]&lt;=30),"24-30",Table1[[#This Row],[Age]]&lt;=35,"31-35",Table1[[#This Row],[Age]]&lt;=40,"36-40",Table1[[#This Row],[Age]]&lt;=45,"41-45",Table1[[#This Row],[Age]]&lt;=50,"46-50",Table1[[#This Row],[Age]]&lt;=55,"51-55",Table1[[#This Row],[Age]]&lt;=60,"56-60",Table1[[#This Row],[Age]]&lt;=66,"61-66")</f>
        <v>41-45</v>
      </c>
      <c r="O229" t="s">
        <v>1077</v>
      </c>
      <c r="P229" t="str" cm="1">
        <f t="array" ref="P229">_xlfn.IFS(Table1[[#This Row],[Company Tenure]]&lt;=5,"1-5",Table1[[#This Row],[Company Tenure]]&lt;=10,"6-10",Table1[[#This Row],[Company Tenure]]&lt;=15,"11-15",Table1[[#This Row],[Company Tenure]]&lt;=20, "15-20",Table1[[#This Row],[Company Tenure]]&gt;20,"Above 20")</f>
        <v>15-20</v>
      </c>
    </row>
    <row r="230" spans="1:16" x14ac:dyDescent="0.25">
      <c r="A230" t="s">
        <v>555</v>
      </c>
      <c r="B230" t="s">
        <v>43</v>
      </c>
      <c r="C230" t="s">
        <v>287</v>
      </c>
      <c r="D230" t="s">
        <v>23</v>
      </c>
      <c r="E230">
        <v>32</v>
      </c>
      <c r="F230" t="s">
        <v>9</v>
      </c>
      <c r="G230" t="s">
        <v>17</v>
      </c>
      <c r="H230" s="2">
        <v>92597</v>
      </c>
      <c r="I230" s="1">
        <v>44629</v>
      </c>
      <c r="J230" s="3">
        <v>4</v>
      </c>
      <c r="K230" t="s">
        <v>556</v>
      </c>
      <c r="L230" t="s">
        <v>39</v>
      </c>
      <c r="M230">
        <v>3</v>
      </c>
      <c r="N230" t="str" cm="1">
        <f t="array" ref="N230">_xlfn.IFS(AND(24&lt;=Table1[[#This Row],[Age]],Table1[[#This Row],[Age]]&lt;=30),"24-30",Table1[[#This Row],[Age]]&lt;=35,"31-35",Table1[[#This Row],[Age]]&lt;=40,"36-40",Table1[[#This Row],[Age]]&lt;=45,"41-45",Table1[[#This Row],[Age]]&lt;=50,"46-50",Table1[[#This Row],[Age]]&lt;=55,"51-55",Table1[[#This Row],[Age]]&lt;=60,"56-60",Table1[[#This Row],[Age]]&lt;=66,"61-66")</f>
        <v>31-35</v>
      </c>
      <c r="O230" t="s">
        <v>1077</v>
      </c>
      <c r="P230" t="str" cm="1">
        <f t="array" ref="P230">_xlfn.IFS(Table1[[#This Row],[Company Tenure]]&lt;=5,"1-5",Table1[[#This Row],[Company Tenure]]&lt;=10,"6-10",Table1[[#This Row],[Company Tenure]]&lt;=15,"11-15",Table1[[#This Row],[Company Tenure]]&lt;=20, "15-20",Table1[[#This Row],[Company Tenure]]&gt;20,"Above 20")</f>
        <v>1-5</v>
      </c>
    </row>
    <row r="231" spans="1:16" x14ac:dyDescent="0.25">
      <c r="A231" t="s">
        <v>557</v>
      </c>
      <c r="B231" t="s">
        <v>514</v>
      </c>
      <c r="C231" t="s">
        <v>287</v>
      </c>
      <c r="D231" t="s">
        <v>8</v>
      </c>
      <c r="E231">
        <v>40</v>
      </c>
      <c r="F231" t="s">
        <v>154</v>
      </c>
      <c r="G231" t="s">
        <v>17</v>
      </c>
      <c r="H231" s="2">
        <v>41791.5</v>
      </c>
      <c r="I231" s="1">
        <v>44534</v>
      </c>
      <c r="J231" s="3">
        <v>4</v>
      </c>
      <c r="K231" t="s">
        <v>558</v>
      </c>
      <c r="L231" t="s">
        <v>11</v>
      </c>
      <c r="M231">
        <v>3</v>
      </c>
      <c r="N231" t="str" cm="1">
        <f t="array" ref="N231">_xlfn.IFS(AND(24&lt;=Table1[[#This Row],[Age]],Table1[[#This Row],[Age]]&lt;=30),"24-30",Table1[[#This Row],[Age]]&lt;=35,"31-35",Table1[[#This Row],[Age]]&lt;=40,"36-40",Table1[[#This Row],[Age]]&lt;=45,"41-45",Table1[[#This Row],[Age]]&lt;=50,"46-50",Table1[[#This Row],[Age]]&lt;=55,"51-55",Table1[[#This Row],[Age]]&lt;=60,"56-60",Table1[[#This Row],[Age]]&lt;=66,"61-66")</f>
        <v>36-40</v>
      </c>
      <c r="O231" t="s">
        <v>1076</v>
      </c>
      <c r="P231" t="str" cm="1">
        <f t="array" ref="P231">_xlfn.IFS(Table1[[#This Row],[Company Tenure]]&lt;=5,"1-5",Table1[[#This Row],[Company Tenure]]&lt;=10,"6-10",Table1[[#This Row],[Company Tenure]]&lt;=15,"11-15",Table1[[#This Row],[Company Tenure]]&lt;=20, "15-20",Table1[[#This Row],[Company Tenure]]&gt;20,"Above 20")</f>
        <v>1-5</v>
      </c>
    </row>
    <row r="232" spans="1:16" x14ac:dyDescent="0.25">
      <c r="A232" t="s">
        <v>559</v>
      </c>
      <c r="B232" t="s">
        <v>469</v>
      </c>
      <c r="C232" t="s">
        <v>141</v>
      </c>
      <c r="D232" t="s">
        <v>8</v>
      </c>
      <c r="E232">
        <v>37</v>
      </c>
      <c r="F232" t="s">
        <v>203</v>
      </c>
      <c r="G232" t="s">
        <v>63</v>
      </c>
      <c r="H232" s="2">
        <v>60135</v>
      </c>
      <c r="I232" s="1">
        <v>41385</v>
      </c>
      <c r="J232" s="3">
        <v>13</v>
      </c>
      <c r="K232" t="s">
        <v>560</v>
      </c>
      <c r="L232" t="s">
        <v>107</v>
      </c>
      <c r="M232">
        <v>4</v>
      </c>
      <c r="N232" t="str" cm="1">
        <f t="array" ref="N232">_xlfn.IFS(AND(24&lt;=Table1[[#This Row],[Age]],Table1[[#This Row],[Age]]&lt;=30),"24-30",Table1[[#This Row],[Age]]&lt;=35,"31-35",Table1[[#This Row],[Age]]&lt;=40,"36-40",Table1[[#This Row],[Age]]&lt;=45,"41-45",Table1[[#This Row],[Age]]&lt;=50,"46-50",Table1[[#This Row],[Age]]&lt;=55,"51-55",Table1[[#This Row],[Age]]&lt;=60,"56-60",Table1[[#This Row],[Age]]&lt;=66,"61-66")</f>
        <v>36-40</v>
      </c>
      <c r="O232" t="s">
        <v>1077</v>
      </c>
      <c r="P232" t="str" cm="1">
        <f t="array" ref="P232">_xlfn.IFS(Table1[[#This Row],[Company Tenure]]&lt;=5,"1-5",Table1[[#This Row],[Company Tenure]]&lt;=10,"6-10",Table1[[#This Row],[Company Tenure]]&lt;=15,"11-15",Table1[[#This Row],[Company Tenure]]&lt;=20, "15-20",Table1[[#This Row],[Company Tenure]]&gt;20,"Above 20")</f>
        <v>11-15</v>
      </c>
    </row>
    <row r="233" spans="1:16" x14ac:dyDescent="0.25">
      <c r="A233" t="s">
        <v>561</v>
      </c>
      <c r="B233" t="s">
        <v>99</v>
      </c>
      <c r="C233" t="s">
        <v>562</v>
      </c>
      <c r="D233" t="s">
        <v>1</v>
      </c>
      <c r="E233">
        <v>54</v>
      </c>
      <c r="F233" t="s">
        <v>181</v>
      </c>
      <c r="G233" t="s">
        <v>2</v>
      </c>
      <c r="H233" s="2">
        <v>79863.34</v>
      </c>
      <c r="I233" s="1">
        <v>43625</v>
      </c>
      <c r="J233" s="3">
        <v>7</v>
      </c>
      <c r="K233" t="s">
        <v>563</v>
      </c>
      <c r="L233" t="s">
        <v>4</v>
      </c>
      <c r="M233">
        <v>3</v>
      </c>
      <c r="N233" t="str" cm="1">
        <f t="array" ref="N233">_xlfn.IFS(AND(24&lt;=Table1[[#This Row],[Age]],Table1[[#This Row],[Age]]&lt;=30),"24-30",Table1[[#This Row],[Age]]&lt;=35,"31-35",Table1[[#This Row],[Age]]&lt;=40,"36-40",Table1[[#This Row],[Age]]&lt;=45,"41-45",Table1[[#This Row],[Age]]&lt;=50,"46-50",Table1[[#This Row],[Age]]&lt;=55,"51-55",Table1[[#This Row],[Age]]&lt;=60,"56-60",Table1[[#This Row],[Age]]&lt;=66,"61-66")</f>
        <v>51-55</v>
      </c>
      <c r="O233" t="s">
        <v>1077</v>
      </c>
      <c r="P233" t="str" cm="1">
        <f t="array" ref="P233">_xlfn.IFS(Table1[[#This Row],[Company Tenure]]&lt;=5,"1-5",Table1[[#This Row],[Company Tenure]]&lt;=10,"6-10",Table1[[#This Row],[Company Tenure]]&lt;=15,"11-15",Table1[[#This Row],[Company Tenure]]&lt;=20, "15-20",Table1[[#This Row],[Company Tenure]]&gt;20,"Above 20")</f>
        <v>6-10</v>
      </c>
    </row>
    <row r="234" spans="1:16" x14ac:dyDescent="0.25">
      <c r="A234" t="s">
        <v>564</v>
      </c>
      <c r="B234" t="s">
        <v>290</v>
      </c>
      <c r="C234" t="s">
        <v>138</v>
      </c>
      <c r="D234" t="s">
        <v>8</v>
      </c>
      <c r="E234">
        <v>43</v>
      </c>
      <c r="F234" t="s">
        <v>133</v>
      </c>
      <c r="G234" t="s">
        <v>44</v>
      </c>
      <c r="H234" s="2">
        <v>57380</v>
      </c>
      <c r="I234" s="1">
        <v>41422</v>
      </c>
      <c r="J234" s="3">
        <v>13</v>
      </c>
      <c r="K234" t="s">
        <v>565</v>
      </c>
      <c r="L234" t="s">
        <v>19</v>
      </c>
      <c r="M234">
        <v>3</v>
      </c>
      <c r="N234" t="str" cm="1">
        <f t="array" ref="N234">_xlfn.IFS(AND(24&lt;=Table1[[#This Row],[Age]],Table1[[#This Row],[Age]]&lt;=30),"24-30",Table1[[#This Row],[Age]]&lt;=35,"31-35",Table1[[#This Row],[Age]]&lt;=40,"36-40",Table1[[#This Row],[Age]]&lt;=45,"41-45",Table1[[#This Row],[Age]]&lt;=50,"46-50",Table1[[#This Row],[Age]]&lt;=55,"51-55",Table1[[#This Row],[Age]]&lt;=60,"56-60",Table1[[#This Row],[Age]]&lt;=66,"61-66")</f>
        <v>41-45</v>
      </c>
      <c r="O234" t="s">
        <v>1077</v>
      </c>
      <c r="P234" t="str" cm="1">
        <f t="array" ref="P234">_xlfn.IFS(Table1[[#This Row],[Company Tenure]]&lt;=5,"1-5",Table1[[#This Row],[Company Tenure]]&lt;=10,"6-10",Table1[[#This Row],[Company Tenure]]&lt;=15,"11-15",Table1[[#This Row],[Company Tenure]]&lt;=20, "15-20",Table1[[#This Row],[Company Tenure]]&gt;20,"Above 20")</f>
        <v>11-15</v>
      </c>
    </row>
    <row r="235" spans="1:16" x14ac:dyDescent="0.25">
      <c r="A235" t="s">
        <v>566</v>
      </c>
      <c r="B235" t="s">
        <v>62</v>
      </c>
      <c r="C235" t="s">
        <v>7</v>
      </c>
      <c r="D235" t="s">
        <v>8</v>
      </c>
      <c r="E235">
        <v>60</v>
      </c>
      <c r="F235" t="s">
        <v>142</v>
      </c>
      <c r="G235" t="s">
        <v>161</v>
      </c>
      <c r="H235" s="2">
        <v>119842.08</v>
      </c>
      <c r="I235" s="1">
        <v>38810</v>
      </c>
      <c r="J235" s="3">
        <v>20</v>
      </c>
      <c r="K235" t="s">
        <v>500</v>
      </c>
      <c r="L235" t="s">
        <v>19</v>
      </c>
      <c r="M235">
        <v>4</v>
      </c>
      <c r="N235" t="str" cm="1">
        <f t="array" ref="N235">_xlfn.IFS(AND(24&lt;=Table1[[#This Row],[Age]],Table1[[#This Row],[Age]]&lt;=30),"24-30",Table1[[#This Row],[Age]]&lt;=35,"31-35",Table1[[#This Row],[Age]]&lt;=40,"36-40",Table1[[#This Row],[Age]]&lt;=45,"41-45",Table1[[#This Row],[Age]]&lt;=50,"46-50",Table1[[#This Row],[Age]]&lt;=55,"51-55",Table1[[#This Row],[Age]]&lt;=60,"56-60",Table1[[#This Row],[Age]]&lt;=66,"61-66")</f>
        <v>56-60</v>
      </c>
      <c r="O235" t="s">
        <v>1074</v>
      </c>
      <c r="P235" t="str" cm="1">
        <f t="array" ref="P235">_xlfn.IFS(Table1[[#This Row],[Company Tenure]]&lt;=5,"1-5",Table1[[#This Row],[Company Tenure]]&lt;=10,"6-10",Table1[[#This Row],[Company Tenure]]&lt;=15,"11-15",Table1[[#This Row],[Company Tenure]]&lt;=20, "15-20",Table1[[#This Row],[Company Tenure]]&gt;20,"Above 20")</f>
        <v>15-20</v>
      </c>
    </row>
    <row r="236" spans="1:16" x14ac:dyDescent="0.25">
      <c r="A236" t="s">
        <v>567</v>
      </c>
      <c r="B236" t="s">
        <v>232</v>
      </c>
      <c r="C236" t="s">
        <v>76</v>
      </c>
      <c r="D236" t="s">
        <v>8</v>
      </c>
      <c r="E236">
        <v>38</v>
      </c>
      <c r="F236" t="s">
        <v>181</v>
      </c>
      <c r="G236" t="s">
        <v>100</v>
      </c>
      <c r="H236" s="2">
        <v>53693</v>
      </c>
      <c r="I236" s="1">
        <v>43389</v>
      </c>
      <c r="J236" s="3">
        <v>7</v>
      </c>
      <c r="K236" t="s">
        <v>568</v>
      </c>
      <c r="L236" t="s">
        <v>207</v>
      </c>
      <c r="M236">
        <v>3</v>
      </c>
      <c r="N236" t="str" cm="1">
        <f t="array" ref="N236">_xlfn.IFS(AND(24&lt;=Table1[[#This Row],[Age]],Table1[[#This Row],[Age]]&lt;=30),"24-30",Table1[[#This Row],[Age]]&lt;=35,"31-35",Table1[[#This Row],[Age]]&lt;=40,"36-40",Table1[[#This Row],[Age]]&lt;=45,"41-45",Table1[[#This Row],[Age]]&lt;=50,"46-50",Table1[[#This Row],[Age]]&lt;=55,"51-55",Table1[[#This Row],[Age]]&lt;=60,"56-60",Table1[[#This Row],[Age]]&lt;=66,"61-66")</f>
        <v>36-40</v>
      </c>
      <c r="O236" t="s">
        <v>1077</v>
      </c>
      <c r="P236" t="str" cm="1">
        <f t="array" ref="P236">_xlfn.IFS(Table1[[#This Row],[Company Tenure]]&lt;=5,"1-5",Table1[[#This Row],[Company Tenure]]&lt;=10,"6-10",Table1[[#This Row],[Company Tenure]]&lt;=15,"11-15",Table1[[#This Row],[Company Tenure]]&lt;=20, "15-20",Table1[[#This Row],[Company Tenure]]&gt;20,"Above 20")</f>
        <v>6-10</v>
      </c>
    </row>
    <row r="237" spans="1:16" x14ac:dyDescent="0.25">
      <c r="A237" t="s">
        <v>569</v>
      </c>
      <c r="B237" t="s">
        <v>99</v>
      </c>
      <c r="C237" t="s">
        <v>104</v>
      </c>
      <c r="D237" t="s">
        <v>8</v>
      </c>
      <c r="E237">
        <v>30</v>
      </c>
      <c r="F237" t="s">
        <v>203</v>
      </c>
      <c r="G237" t="s">
        <v>2</v>
      </c>
      <c r="H237" s="2">
        <v>80480</v>
      </c>
      <c r="I237" s="1">
        <v>44558</v>
      </c>
      <c r="J237" s="3">
        <v>4</v>
      </c>
      <c r="K237" t="s">
        <v>570</v>
      </c>
      <c r="L237" t="s">
        <v>14</v>
      </c>
      <c r="M237">
        <v>4</v>
      </c>
      <c r="N237" t="str" cm="1">
        <f t="array" ref="N237">_xlfn.IFS(AND(24&lt;=Table1[[#This Row],[Age]],Table1[[#This Row],[Age]]&lt;=30),"24-30",Table1[[#This Row],[Age]]&lt;=35,"31-35",Table1[[#This Row],[Age]]&lt;=40,"36-40",Table1[[#This Row],[Age]]&lt;=45,"41-45",Table1[[#This Row],[Age]]&lt;=50,"46-50",Table1[[#This Row],[Age]]&lt;=55,"51-55",Table1[[#This Row],[Age]]&lt;=60,"56-60",Table1[[#This Row],[Age]]&lt;=66,"61-66")</f>
        <v>24-30</v>
      </c>
      <c r="O237" t="s">
        <v>1077</v>
      </c>
      <c r="P237" t="str" cm="1">
        <f t="array" ref="P237">_xlfn.IFS(Table1[[#This Row],[Company Tenure]]&lt;=5,"1-5",Table1[[#This Row],[Company Tenure]]&lt;=10,"6-10",Table1[[#This Row],[Company Tenure]]&lt;=15,"11-15",Table1[[#This Row],[Company Tenure]]&lt;=20, "15-20",Table1[[#This Row],[Company Tenure]]&gt;20,"Above 20")</f>
        <v>1-5</v>
      </c>
    </row>
    <row r="238" spans="1:16" x14ac:dyDescent="0.25">
      <c r="A238" t="s">
        <v>571</v>
      </c>
      <c r="B238" t="s">
        <v>232</v>
      </c>
      <c r="C238" t="s">
        <v>356</v>
      </c>
      <c r="D238" t="s">
        <v>1</v>
      </c>
      <c r="E238">
        <v>25</v>
      </c>
      <c r="F238" t="s">
        <v>9</v>
      </c>
      <c r="G238" t="s">
        <v>44</v>
      </c>
      <c r="H238" s="2">
        <v>78290</v>
      </c>
      <c r="I238" s="1">
        <v>45586</v>
      </c>
      <c r="J238" s="3">
        <v>1</v>
      </c>
      <c r="K238" t="s">
        <v>572</v>
      </c>
      <c r="L238" t="s">
        <v>107</v>
      </c>
      <c r="M238">
        <v>3</v>
      </c>
      <c r="N238" t="str" cm="1">
        <f t="array" ref="N238">_xlfn.IFS(AND(24&lt;=Table1[[#This Row],[Age]],Table1[[#This Row],[Age]]&lt;=30),"24-30",Table1[[#This Row],[Age]]&lt;=35,"31-35",Table1[[#This Row],[Age]]&lt;=40,"36-40",Table1[[#This Row],[Age]]&lt;=45,"41-45",Table1[[#This Row],[Age]]&lt;=50,"46-50",Table1[[#This Row],[Age]]&lt;=55,"51-55",Table1[[#This Row],[Age]]&lt;=60,"56-60",Table1[[#This Row],[Age]]&lt;=66,"61-66")</f>
        <v>24-30</v>
      </c>
      <c r="O238" t="s">
        <v>1077</v>
      </c>
      <c r="P238" t="str" cm="1">
        <f t="array" ref="P238">_xlfn.IFS(Table1[[#This Row],[Company Tenure]]&lt;=5,"1-5",Table1[[#This Row],[Company Tenure]]&lt;=10,"6-10",Table1[[#This Row],[Company Tenure]]&lt;=15,"11-15",Table1[[#This Row],[Company Tenure]]&lt;=20, "15-20",Table1[[#This Row],[Company Tenure]]&gt;20,"Above 20")</f>
        <v>1-5</v>
      </c>
    </row>
    <row r="239" spans="1:16" x14ac:dyDescent="0.25">
      <c r="A239" t="s">
        <v>573</v>
      </c>
      <c r="B239" t="s">
        <v>56</v>
      </c>
      <c r="C239" t="s">
        <v>215</v>
      </c>
      <c r="D239" t="s">
        <v>23</v>
      </c>
      <c r="E239">
        <v>45</v>
      </c>
      <c r="F239" t="s">
        <v>142</v>
      </c>
      <c r="G239" t="s">
        <v>44</v>
      </c>
      <c r="H239" s="2">
        <v>61795</v>
      </c>
      <c r="I239" s="1">
        <v>41154</v>
      </c>
      <c r="J239" s="3">
        <v>14</v>
      </c>
      <c r="K239" t="s">
        <v>574</v>
      </c>
      <c r="L239" t="s">
        <v>54</v>
      </c>
      <c r="M239">
        <v>3</v>
      </c>
      <c r="N239" t="str" cm="1">
        <f t="array" ref="N239">_xlfn.IFS(AND(24&lt;=Table1[[#This Row],[Age]],Table1[[#This Row],[Age]]&lt;=30),"24-30",Table1[[#This Row],[Age]]&lt;=35,"31-35",Table1[[#This Row],[Age]]&lt;=40,"36-40",Table1[[#This Row],[Age]]&lt;=45,"41-45",Table1[[#This Row],[Age]]&lt;=50,"46-50",Table1[[#This Row],[Age]]&lt;=55,"51-55",Table1[[#This Row],[Age]]&lt;=60,"56-60",Table1[[#This Row],[Age]]&lt;=66,"61-66")</f>
        <v>41-45</v>
      </c>
      <c r="O239" t="s">
        <v>1077</v>
      </c>
      <c r="P239" t="str" cm="1">
        <f t="array" ref="P239">_xlfn.IFS(Table1[[#This Row],[Company Tenure]]&lt;=5,"1-5",Table1[[#This Row],[Company Tenure]]&lt;=10,"6-10",Table1[[#This Row],[Company Tenure]]&lt;=15,"11-15",Table1[[#This Row],[Company Tenure]]&lt;=20, "15-20",Table1[[#This Row],[Company Tenure]]&gt;20,"Above 20")</f>
        <v>11-15</v>
      </c>
    </row>
    <row r="240" spans="1:16" x14ac:dyDescent="0.25">
      <c r="A240" t="s">
        <v>575</v>
      </c>
      <c r="B240" t="s">
        <v>290</v>
      </c>
      <c r="C240" t="s">
        <v>962</v>
      </c>
      <c r="D240" t="s">
        <v>23</v>
      </c>
      <c r="E240">
        <v>55</v>
      </c>
      <c r="F240" t="s">
        <v>142</v>
      </c>
      <c r="G240" t="s">
        <v>37</v>
      </c>
      <c r="H240" s="2">
        <v>63917</v>
      </c>
      <c r="I240" s="1">
        <v>39125</v>
      </c>
      <c r="J240" s="3">
        <v>19</v>
      </c>
      <c r="K240" t="s">
        <v>576</v>
      </c>
      <c r="L240" t="s">
        <v>120</v>
      </c>
      <c r="M240">
        <v>3</v>
      </c>
      <c r="N240" t="str" cm="1">
        <f t="array" ref="N240">_xlfn.IFS(AND(24&lt;=Table1[[#This Row],[Age]],Table1[[#This Row],[Age]]&lt;=30),"24-30",Table1[[#This Row],[Age]]&lt;=35,"31-35",Table1[[#This Row],[Age]]&lt;=40,"36-40",Table1[[#This Row],[Age]]&lt;=45,"41-45",Table1[[#This Row],[Age]]&lt;=50,"46-50",Table1[[#This Row],[Age]]&lt;=55,"51-55",Table1[[#This Row],[Age]]&lt;=60,"56-60",Table1[[#This Row],[Age]]&lt;=66,"61-66")</f>
        <v>51-55</v>
      </c>
      <c r="O240" t="s">
        <v>1077</v>
      </c>
      <c r="P240" t="str" cm="1">
        <f t="array" ref="P240">_xlfn.IFS(Table1[[#This Row],[Company Tenure]]&lt;=5,"1-5",Table1[[#This Row],[Company Tenure]]&lt;=10,"6-10",Table1[[#This Row],[Company Tenure]]&lt;=15,"11-15",Table1[[#This Row],[Company Tenure]]&lt;=20, "15-20",Table1[[#This Row],[Company Tenure]]&gt;20,"Above 20")</f>
        <v>15-20</v>
      </c>
    </row>
    <row r="241" spans="1:16" x14ac:dyDescent="0.25">
      <c r="A241" t="s">
        <v>577</v>
      </c>
      <c r="B241" t="s">
        <v>6</v>
      </c>
      <c r="C241" t="s">
        <v>76</v>
      </c>
      <c r="D241" t="s">
        <v>23</v>
      </c>
      <c r="E241">
        <v>52</v>
      </c>
      <c r="F241" t="s">
        <v>1066</v>
      </c>
      <c r="G241" t="s">
        <v>37</v>
      </c>
      <c r="H241" s="2">
        <v>58991</v>
      </c>
      <c r="I241" s="1">
        <v>43178</v>
      </c>
      <c r="J241" s="3">
        <v>8</v>
      </c>
      <c r="K241" t="s">
        <v>347</v>
      </c>
      <c r="L241" t="s">
        <v>107</v>
      </c>
      <c r="M241">
        <v>4</v>
      </c>
      <c r="N241" t="str" cm="1">
        <f t="array" ref="N241">_xlfn.IFS(AND(24&lt;=Table1[[#This Row],[Age]],Table1[[#This Row],[Age]]&lt;=30),"24-30",Table1[[#This Row],[Age]]&lt;=35,"31-35",Table1[[#This Row],[Age]]&lt;=40,"36-40",Table1[[#This Row],[Age]]&lt;=45,"41-45",Table1[[#This Row],[Age]]&lt;=50,"46-50",Table1[[#This Row],[Age]]&lt;=55,"51-55",Table1[[#This Row],[Age]]&lt;=60,"56-60",Table1[[#This Row],[Age]]&lt;=66,"61-66")</f>
        <v>51-55</v>
      </c>
      <c r="O241" t="s">
        <v>1077</v>
      </c>
      <c r="P241" t="str" cm="1">
        <f t="array" ref="P241">_xlfn.IFS(Table1[[#This Row],[Company Tenure]]&lt;=5,"1-5",Table1[[#This Row],[Company Tenure]]&lt;=10,"6-10",Table1[[#This Row],[Company Tenure]]&lt;=15,"11-15",Table1[[#This Row],[Company Tenure]]&lt;=20, "15-20",Table1[[#This Row],[Company Tenure]]&gt;20,"Above 20")</f>
        <v>6-10</v>
      </c>
    </row>
    <row r="242" spans="1:16" x14ac:dyDescent="0.25">
      <c r="A242" t="s">
        <v>578</v>
      </c>
      <c r="B242" t="s">
        <v>30</v>
      </c>
      <c r="C242" t="s">
        <v>88</v>
      </c>
      <c r="D242" t="s">
        <v>23</v>
      </c>
      <c r="E242">
        <v>38</v>
      </c>
      <c r="F242" t="s">
        <v>295</v>
      </c>
      <c r="G242" t="s">
        <v>44</v>
      </c>
      <c r="H242" s="2">
        <v>65732</v>
      </c>
      <c r="I242" s="1">
        <v>42129</v>
      </c>
      <c r="J242" s="3">
        <v>11</v>
      </c>
      <c r="K242" t="s">
        <v>579</v>
      </c>
      <c r="L242" t="s">
        <v>11</v>
      </c>
      <c r="M242">
        <v>3</v>
      </c>
      <c r="N242" t="str" cm="1">
        <f t="array" ref="N242">_xlfn.IFS(AND(24&lt;=Table1[[#This Row],[Age]],Table1[[#This Row],[Age]]&lt;=30),"24-30",Table1[[#This Row],[Age]]&lt;=35,"31-35",Table1[[#This Row],[Age]]&lt;=40,"36-40",Table1[[#This Row],[Age]]&lt;=45,"41-45",Table1[[#This Row],[Age]]&lt;=50,"46-50",Table1[[#This Row],[Age]]&lt;=55,"51-55",Table1[[#This Row],[Age]]&lt;=60,"56-60",Table1[[#This Row],[Age]]&lt;=66,"61-66")</f>
        <v>36-40</v>
      </c>
      <c r="O242" t="s">
        <v>1077</v>
      </c>
      <c r="P242" t="str" cm="1">
        <f t="array" ref="P242">_xlfn.IFS(Table1[[#This Row],[Company Tenure]]&lt;=5,"1-5",Table1[[#This Row],[Company Tenure]]&lt;=10,"6-10",Table1[[#This Row],[Company Tenure]]&lt;=15,"11-15",Table1[[#This Row],[Company Tenure]]&lt;=20, "15-20",Table1[[#This Row],[Company Tenure]]&gt;20,"Above 20")</f>
        <v>11-15</v>
      </c>
    </row>
    <row r="243" spans="1:16" x14ac:dyDescent="0.25">
      <c r="A243" t="s">
        <v>580</v>
      </c>
      <c r="B243" t="s">
        <v>115</v>
      </c>
      <c r="C243" t="s">
        <v>308</v>
      </c>
      <c r="D243" t="s">
        <v>23</v>
      </c>
      <c r="E243">
        <v>28</v>
      </c>
      <c r="F243" t="s">
        <v>32</v>
      </c>
      <c r="G243" t="s">
        <v>2</v>
      </c>
      <c r="H243" s="2">
        <v>109517</v>
      </c>
      <c r="I243" s="1">
        <v>45620</v>
      </c>
      <c r="J243" s="3">
        <v>1</v>
      </c>
      <c r="K243" t="s">
        <v>581</v>
      </c>
      <c r="L243" t="s">
        <v>49</v>
      </c>
      <c r="M243">
        <v>1</v>
      </c>
      <c r="N243" t="str" cm="1">
        <f t="array" ref="N243">_xlfn.IFS(AND(24&lt;=Table1[[#This Row],[Age]],Table1[[#This Row],[Age]]&lt;=30),"24-30",Table1[[#This Row],[Age]]&lt;=35,"31-35",Table1[[#This Row],[Age]]&lt;=40,"36-40",Table1[[#This Row],[Age]]&lt;=45,"41-45",Table1[[#This Row],[Age]]&lt;=50,"46-50",Table1[[#This Row],[Age]]&lt;=55,"51-55",Table1[[#This Row],[Age]]&lt;=60,"56-60",Table1[[#This Row],[Age]]&lt;=66,"61-66")</f>
        <v>24-30</v>
      </c>
      <c r="O243" t="s">
        <v>1074</v>
      </c>
      <c r="P243" t="str" cm="1">
        <f t="array" ref="P243">_xlfn.IFS(Table1[[#This Row],[Company Tenure]]&lt;=5,"1-5",Table1[[#This Row],[Company Tenure]]&lt;=10,"6-10",Table1[[#This Row],[Company Tenure]]&lt;=15,"11-15",Table1[[#This Row],[Company Tenure]]&lt;=20, "15-20",Table1[[#This Row],[Company Tenure]]&gt;20,"Above 20")</f>
        <v>1-5</v>
      </c>
    </row>
    <row r="244" spans="1:16" x14ac:dyDescent="0.25">
      <c r="A244" t="s">
        <v>582</v>
      </c>
      <c r="B244" t="s">
        <v>6</v>
      </c>
      <c r="C244" t="s">
        <v>269</v>
      </c>
      <c r="D244" t="s">
        <v>1</v>
      </c>
      <c r="E244">
        <v>39</v>
      </c>
      <c r="F244" t="s">
        <v>36</v>
      </c>
      <c r="G244" t="s">
        <v>37</v>
      </c>
      <c r="H244" s="2">
        <v>103343.67999999999</v>
      </c>
      <c r="I244" s="1">
        <v>40479</v>
      </c>
      <c r="J244" s="3">
        <v>15</v>
      </c>
      <c r="K244" t="s">
        <v>583</v>
      </c>
      <c r="L244" t="s">
        <v>19</v>
      </c>
      <c r="M244">
        <v>2</v>
      </c>
      <c r="N244" t="str" cm="1">
        <f t="array" ref="N244">_xlfn.IFS(AND(24&lt;=Table1[[#This Row],[Age]],Table1[[#This Row],[Age]]&lt;=30),"24-30",Table1[[#This Row],[Age]]&lt;=35,"31-35",Table1[[#This Row],[Age]]&lt;=40,"36-40",Table1[[#This Row],[Age]]&lt;=45,"41-45",Table1[[#This Row],[Age]]&lt;=50,"46-50",Table1[[#This Row],[Age]]&lt;=55,"51-55",Table1[[#This Row],[Age]]&lt;=60,"56-60",Table1[[#This Row],[Age]]&lt;=66,"61-66")</f>
        <v>36-40</v>
      </c>
      <c r="O244" t="s">
        <v>1074</v>
      </c>
      <c r="P244" t="str" cm="1">
        <f t="array" ref="P244">_xlfn.IFS(Table1[[#This Row],[Company Tenure]]&lt;=5,"1-5",Table1[[#This Row],[Company Tenure]]&lt;=10,"6-10",Table1[[#This Row],[Company Tenure]]&lt;=15,"11-15",Table1[[#This Row],[Company Tenure]]&lt;=20, "15-20",Table1[[#This Row],[Company Tenure]]&gt;20,"Above 20")</f>
        <v>11-15</v>
      </c>
    </row>
    <row r="245" spans="1:16" x14ac:dyDescent="0.25">
      <c r="A245" t="s">
        <v>584</v>
      </c>
      <c r="B245" t="s">
        <v>62</v>
      </c>
      <c r="C245" t="s">
        <v>485</v>
      </c>
      <c r="D245" t="s">
        <v>23</v>
      </c>
      <c r="E245">
        <v>53</v>
      </c>
      <c r="F245" t="s">
        <v>142</v>
      </c>
      <c r="G245" t="s">
        <v>105</v>
      </c>
      <c r="H245" s="2">
        <v>99891.36</v>
      </c>
      <c r="I245" s="1">
        <v>39299</v>
      </c>
      <c r="J245" s="3">
        <v>19</v>
      </c>
      <c r="K245" t="s">
        <v>585</v>
      </c>
      <c r="L245" t="s">
        <v>11</v>
      </c>
      <c r="M245">
        <v>4</v>
      </c>
      <c r="N245" t="str" cm="1">
        <f t="array" ref="N245">_xlfn.IFS(AND(24&lt;=Table1[[#This Row],[Age]],Table1[[#This Row],[Age]]&lt;=30),"24-30",Table1[[#This Row],[Age]]&lt;=35,"31-35",Table1[[#This Row],[Age]]&lt;=40,"36-40",Table1[[#This Row],[Age]]&lt;=45,"41-45",Table1[[#This Row],[Age]]&lt;=50,"46-50",Table1[[#This Row],[Age]]&lt;=55,"51-55",Table1[[#This Row],[Age]]&lt;=60,"56-60",Table1[[#This Row],[Age]]&lt;=66,"61-66")</f>
        <v>51-55</v>
      </c>
      <c r="O245" t="s">
        <v>1077</v>
      </c>
      <c r="P245" t="str" cm="1">
        <f t="array" ref="P245">_xlfn.IFS(Table1[[#This Row],[Company Tenure]]&lt;=5,"1-5",Table1[[#This Row],[Company Tenure]]&lt;=10,"6-10",Table1[[#This Row],[Company Tenure]]&lt;=15,"11-15",Table1[[#This Row],[Company Tenure]]&lt;=20, "15-20",Table1[[#This Row],[Company Tenure]]&gt;20,"Above 20")</f>
        <v>15-20</v>
      </c>
    </row>
    <row r="246" spans="1:16" x14ac:dyDescent="0.25">
      <c r="A246" t="s">
        <v>586</v>
      </c>
      <c r="B246" t="s">
        <v>56</v>
      </c>
      <c r="C246" t="s">
        <v>88</v>
      </c>
      <c r="D246" t="s">
        <v>1</v>
      </c>
      <c r="E246">
        <v>48</v>
      </c>
      <c r="F246" t="s">
        <v>203</v>
      </c>
      <c r="G246" t="s">
        <v>44</v>
      </c>
      <c r="H246" s="2">
        <v>51595</v>
      </c>
      <c r="I246" s="1">
        <v>40078</v>
      </c>
      <c r="J246" s="3">
        <v>17</v>
      </c>
      <c r="K246" t="s">
        <v>587</v>
      </c>
      <c r="L246" t="s">
        <v>85</v>
      </c>
      <c r="M246">
        <v>4</v>
      </c>
      <c r="N246" t="str" cm="1">
        <f t="array" ref="N246">_xlfn.IFS(AND(24&lt;=Table1[[#This Row],[Age]],Table1[[#This Row],[Age]]&lt;=30),"24-30",Table1[[#This Row],[Age]]&lt;=35,"31-35",Table1[[#This Row],[Age]]&lt;=40,"36-40",Table1[[#This Row],[Age]]&lt;=45,"41-45",Table1[[#This Row],[Age]]&lt;=50,"46-50",Table1[[#This Row],[Age]]&lt;=55,"51-55",Table1[[#This Row],[Age]]&lt;=60,"56-60",Table1[[#This Row],[Age]]&lt;=66,"61-66")</f>
        <v>46-50</v>
      </c>
      <c r="O246" t="s">
        <v>1077</v>
      </c>
      <c r="P246" t="str" cm="1">
        <f t="array" ref="P246">_xlfn.IFS(Table1[[#This Row],[Company Tenure]]&lt;=5,"1-5",Table1[[#This Row],[Company Tenure]]&lt;=10,"6-10",Table1[[#This Row],[Company Tenure]]&lt;=15,"11-15",Table1[[#This Row],[Company Tenure]]&lt;=20, "15-20",Table1[[#This Row],[Company Tenure]]&gt;20,"Above 20")</f>
        <v>15-20</v>
      </c>
    </row>
    <row r="247" spans="1:16" x14ac:dyDescent="0.25">
      <c r="A247" t="s">
        <v>588</v>
      </c>
      <c r="B247" t="s">
        <v>16</v>
      </c>
      <c r="C247" t="s">
        <v>589</v>
      </c>
      <c r="D247" t="s">
        <v>23</v>
      </c>
      <c r="E247">
        <v>41</v>
      </c>
      <c r="F247" t="s">
        <v>32</v>
      </c>
      <c r="G247" t="s">
        <v>2</v>
      </c>
      <c r="H247" s="2">
        <v>113800</v>
      </c>
      <c r="I247" s="1">
        <v>43136</v>
      </c>
      <c r="J247" s="3">
        <v>8</v>
      </c>
      <c r="K247" t="s">
        <v>590</v>
      </c>
      <c r="L247" t="s">
        <v>28</v>
      </c>
      <c r="M247">
        <v>4</v>
      </c>
      <c r="N247" t="str" cm="1">
        <f t="array" ref="N247">_xlfn.IFS(AND(24&lt;=Table1[[#This Row],[Age]],Table1[[#This Row],[Age]]&lt;=30),"24-30",Table1[[#This Row],[Age]]&lt;=35,"31-35",Table1[[#This Row],[Age]]&lt;=40,"36-40",Table1[[#This Row],[Age]]&lt;=45,"41-45",Table1[[#This Row],[Age]]&lt;=50,"46-50",Table1[[#This Row],[Age]]&lt;=55,"51-55",Table1[[#This Row],[Age]]&lt;=60,"56-60",Table1[[#This Row],[Age]]&lt;=66,"61-66")</f>
        <v>41-45</v>
      </c>
      <c r="O247" t="s">
        <v>1074</v>
      </c>
      <c r="P247" t="str" cm="1">
        <f t="array" ref="P247">_xlfn.IFS(Table1[[#This Row],[Company Tenure]]&lt;=5,"1-5",Table1[[#This Row],[Company Tenure]]&lt;=10,"6-10",Table1[[#This Row],[Company Tenure]]&lt;=15,"11-15",Table1[[#This Row],[Company Tenure]]&lt;=20, "15-20",Table1[[#This Row],[Company Tenure]]&gt;20,"Above 20")</f>
        <v>6-10</v>
      </c>
    </row>
    <row r="248" spans="1:16" x14ac:dyDescent="0.25">
      <c r="A248" t="s">
        <v>591</v>
      </c>
      <c r="B248" t="s">
        <v>103</v>
      </c>
      <c r="C248" t="s">
        <v>169</v>
      </c>
      <c r="D248" t="s">
        <v>23</v>
      </c>
      <c r="E248">
        <v>34</v>
      </c>
      <c r="F248" t="s">
        <v>32</v>
      </c>
      <c r="G248" t="s">
        <v>44</v>
      </c>
      <c r="H248" s="2">
        <v>73562.259999999995</v>
      </c>
      <c r="I248" s="1" t="s">
        <v>1059</v>
      </c>
      <c r="J248" s="3" t="s">
        <v>1059</v>
      </c>
      <c r="K248" t="s">
        <v>592</v>
      </c>
      <c r="L248" t="s">
        <v>120</v>
      </c>
      <c r="M248">
        <v>4</v>
      </c>
      <c r="N248" t="str" cm="1">
        <f t="array" ref="N248">_xlfn.IFS(AND(24&lt;=Table1[[#This Row],[Age]],Table1[[#This Row],[Age]]&lt;=30),"24-30",Table1[[#This Row],[Age]]&lt;=35,"31-35",Table1[[#This Row],[Age]]&lt;=40,"36-40",Table1[[#This Row],[Age]]&lt;=45,"41-45",Table1[[#This Row],[Age]]&lt;=50,"46-50",Table1[[#This Row],[Age]]&lt;=55,"51-55",Table1[[#This Row],[Age]]&lt;=60,"56-60",Table1[[#This Row],[Age]]&lt;=66,"61-66")</f>
        <v>31-35</v>
      </c>
      <c r="O248" t="s">
        <v>1077</v>
      </c>
      <c r="P248" t="str" cm="1">
        <f t="array" ref="P248">_xlfn.IFS(Table1[[#This Row],[Company Tenure]]&lt;=5,"1-5",Table1[[#This Row],[Company Tenure]]&lt;=10,"6-10",Table1[[#This Row],[Company Tenure]]&lt;=15,"11-15",Table1[[#This Row],[Company Tenure]]&lt;=20, "15-20",Table1[[#This Row],[Company Tenure]]&gt;20,"Above 20")</f>
        <v>Above 20</v>
      </c>
    </row>
    <row r="249" spans="1:16" x14ac:dyDescent="0.25">
      <c r="A249" t="s">
        <v>593</v>
      </c>
      <c r="B249" t="s">
        <v>530</v>
      </c>
      <c r="C249" t="s">
        <v>80</v>
      </c>
      <c r="D249" t="s">
        <v>1</v>
      </c>
      <c r="E249">
        <v>35</v>
      </c>
      <c r="F249" t="s">
        <v>36</v>
      </c>
      <c r="G249" t="s">
        <v>44</v>
      </c>
      <c r="H249" s="2">
        <v>81678</v>
      </c>
      <c r="I249" s="1">
        <v>44383</v>
      </c>
      <c r="J249" s="3">
        <v>5</v>
      </c>
      <c r="K249" t="s">
        <v>594</v>
      </c>
      <c r="L249" t="s">
        <v>85</v>
      </c>
      <c r="M249">
        <v>3</v>
      </c>
      <c r="N249" t="str" cm="1">
        <f t="array" ref="N249">_xlfn.IFS(AND(24&lt;=Table1[[#This Row],[Age]],Table1[[#This Row],[Age]]&lt;=30),"24-30",Table1[[#This Row],[Age]]&lt;=35,"31-35",Table1[[#This Row],[Age]]&lt;=40,"36-40",Table1[[#This Row],[Age]]&lt;=45,"41-45",Table1[[#This Row],[Age]]&lt;=50,"46-50",Table1[[#This Row],[Age]]&lt;=55,"51-55",Table1[[#This Row],[Age]]&lt;=60,"56-60",Table1[[#This Row],[Age]]&lt;=66,"61-66")</f>
        <v>31-35</v>
      </c>
      <c r="O249" t="s">
        <v>1077</v>
      </c>
      <c r="P249" t="str" cm="1">
        <f t="array" ref="P249">_xlfn.IFS(Table1[[#This Row],[Company Tenure]]&lt;=5,"1-5",Table1[[#This Row],[Company Tenure]]&lt;=10,"6-10",Table1[[#This Row],[Company Tenure]]&lt;=15,"11-15",Table1[[#This Row],[Company Tenure]]&lt;=20, "15-20",Table1[[#This Row],[Company Tenure]]&gt;20,"Above 20")</f>
        <v>1-5</v>
      </c>
    </row>
    <row r="250" spans="1:16" x14ac:dyDescent="0.25">
      <c r="A250" t="s">
        <v>595</v>
      </c>
      <c r="B250" t="s">
        <v>290</v>
      </c>
      <c r="C250" t="s">
        <v>141</v>
      </c>
      <c r="D250" t="s">
        <v>8</v>
      </c>
      <c r="E250">
        <v>38</v>
      </c>
      <c r="F250" t="s">
        <v>9</v>
      </c>
      <c r="G250" t="s">
        <v>17</v>
      </c>
      <c r="H250" s="2">
        <v>92055.360000000001</v>
      </c>
      <c r="I250" s="1">
        <v>40432</v>
      </c>
      <c r="J250" s="3">
        <v>16</v>
      </c>
      <c r="K250" t="s">
        <v>596</v>
      </c>
      <c r="L250" t="s">
        <v>120</v>
      </c>
      <c r="M250">
        <v>3</v>
      </c>
      <c r="N250" t="str" cm="1">
        <f t="array" ref="N250">_xlfn.IFS(AND(24&lt;=Table1[[#This Row],[Age]],Table1[[#This Row],[Age]]&lt;=30),"24-30",Table1[[#This Row],[Age]]&lt;=35,"31-35",Table1[[#This Row],[Age]]&lt;=40,"36-40",Table1[[#This Row],[Age]]&lt;=45,"41-45",Table1[[#This Row],[Age]]&lt;=50,"46-50",Table1[[#This Row],[Age]]&lt;=55,"51-55",Table1[[#This Row],[Age]]&lt;=60,"56-60",Table1[[#This Row],[Age]]&lt;=66,"61-66")</f>
        <v>36-40</v>
      </c>
      <c r="O250" t="s">
        <v>1077</v>
      </c>
      <c r="P250" t="str" cm="1">
        <f t="array" ref="P250">_xlfn.IFS(Table1[[#This Row],[Company Tenure]]&lt;=5,"1-5",Table1[[#This Row],[Company Tenure]]&lt;=10,"6-10",Table1[[#This Row],[Company Tenure]]&lt;=15,"11-15",Table1[[#This Row],[Company Tenure]]&lt;=20, "15-20",Table1[[#This Row],[Company Tenure]]&gt;20,"Above 20")</f>
        <v>15-20</v>
      </c>
    </row>
    <row r="251" spans="1:16" x14ac:dyDescent="0.25">
      <c r="A251" t="s">
        <v>597</v>
      </c>
      <c r="B251" t="s">
        <v>87</v>
      </c>
      <c r="C251" t="s">
        <v>351</v>
      </c>
      <c r="D251" t="s">
        <v>8</v>
      </c>
      <c r="E251">
        <v>42</v>
      </c>
      <c r="F251" t="s">
        <v>154</v>
      </c>
      <c r="G251" t="s">
        <v>44</v>
      </c>
      <c r="H251" s="2">
        <v>39791</v>
      </c>
      <c r="I251" s="1">
        <v>38961</v>
      </c>
      <c r="J251" s="3">
        <v>20</v>
      </c>
      <c r="K251" t="s">
        <v>51</v>
      </c>
      <c r="L251" t="s">
        <v>49</v>
      </c>
      <c r="M251">
        <v>3</v>
      </c>
      <c r="N251" t="str" cm="1">
        <f t="array" ref="N251">_xlfn.IFS(AND(24&lt;=Table1[[#This Row],[Age]],Table1[[#This Row],[Age]]&lt;=30),"24-30",Table1[[#This Row],[Age]]&lt;=35,"31-35",Table1[[#This Row],[Age]]&lt;=40,"36-40",Table1[[#This Row],[Age]]&lt;=45,"41-45",Table1[[#This Row],[Age]]&lt;=50,"46-50",Table1[[#This Row],[Age]]&lt;=55,"51-55",Table1[[#This Row],[Age]]&lt;=60,"56-60",Table1[[#This Row],[Age]]&lt;=66,"61-66")</f>
        <v>41-45</v>
      </c>
      <c r="O251" t="s">
        <v>1076</v>
      </c>
      <c r="P251" t="str" cm="1">
        <f t="array" ref="P251">_xlfn.IFS(Table1[[#This Row],[Company Tenure]]&lt;=5,"1-5",Table1[[#This Row],[Company Tenure]]&lt;=10,"6-10",Table1[[#This Row],[Company Tenure]]&lt;=15,"11-15",Table1[[#This Row],[Company Tenure]]&lt;=20, "15-20",Table1[[#This Row],[Company Tenure]]&gt;20,"Above 20")</f>
        <v>15-20</v>
      </c>
    </row>
    <row r="252" spans="1:16" x14ac:dyDescent="0.25">
      <c r="A252" t="s">
        <v>598</v>
      </c>
      <c r="B252" t="s">
        <v>451</v>
      </c>
      <c r="C252" t="s">
        <v>118</v>
      </c>
      <c r="D252" t="s">
        <v>8</v>
      </c>
      <c r="E252">
        <v>45</v>
      </c>
      <c r="F252" t="s">
        <v>181</v>
      </c>
      <c r="G252" t="s">
        <v>105</v>
      </c>
      <c r="H252" s="2">
        <v>93583</v>
      </c>
      <c r="I252" s="1">
        <v>40616</v>
      </c>
      <c r="J252" s="3">
        <v>15</v>
      </c>
      <c r="K252" t="s">
        <v>599</v>
      </c>
      <c r="L252" t="s">
        <v>65</v>
      </c>
      <c r="M252">
        <v>4</v>
      </c>
      <c r="N252" t="str" cm="1">
        <f t="array" ref="N252">_xlfn.IFS(AND(24&lt;=Table1[[#This Row],[Age]],Table1[[#This Row],[Age]]&lt;=30),"24-30",Table1[[#This Row],[Age]]&lt;=35,"31-35",Table1[[#This Row],[Age]]&lt;=40,"36-40",Table1[[#This Row],[Age]]&lt;=45,"41-45",Table1[[#This Row],[Age]]&lt;=50,"46-50",Table1[[#This Row],[Age]]&lt;=55,"51-55",Table1[[#This Row],[Age]]&lt;=60,"56-60",Table1[[#This Row],[Age]]&lt;=66,"61-66")</f>
        <v>41-45</v>
      </c>
      <c r="O252" t="s">
        <v>1077</v>
      </c>
      <c r="P252" t="str" cm="1">
        <f t="array" ref="P252">_xlfn.IFS(Table1[[#This Row],[Company Tenure]]&lt;=5,"1-5",Table1[[#This Row],[Company Tenure]]&lt;=10,"6-10",Table1[[#This Row],[Company Tenure]]&lt;=15,"11-15",Table1[[#This Row],[Company Tenure]]&lt;=20, "15-20",Table1[[#This Row],[Company Tenure]]&gt;20,"Above 20")</f>
        <v>11-15</v>
      </c>
    </row>
    <row r="253" spans="1:16" x14ac:dyDescent="0.25">
      <c r="A253" t="s">
        <v>600</v>
      </c>
      <c r="B253" t="s">
        <v>6</v>
      </c>
      <c r="C253" t="s">
        <v>16</v>
      </c>
      <c r="D253" t="s">
        <v>1</v>
      </c>
      <c r="E253">
        <v>49</v>
      </c>
      <c r="F253" t="s">
        <v>154</v>
      </c>
      <c r="G253" t="s">
        <v>37</v>
      </c>
      <c r="H253" s="2">
        <v>54086</v>
      </c>
      <c r="I253" s="1">
        <v>38536</v>
      </c>
      <c r="J253" s="3">
        <v>21</v>
      </c>
      <c r="K253" t="s">
        <v>601</v>
      </c>
      <c r="L253" t="s">
        <v>65</v>
      </c>
      <c r="M253">
        <v>2</v>
      </c>
      <c r="N253" t="str" cm="1">
        <f t="array" ref="N253">_xlfn.IFS(AND(24&lt;=Table1[[#This Row],[Age]],Table1[[#This Row],[Age]]&lt;=30),"24-30",Table1[[#This Row],[Age]]&lt;=35,"31-35",Table1[[#This Row],[Age]]&lt;=40,"36-40",Table1[[#This Row],[Age]]&lt;=45,"41-45",Table1[[#This Row],[Age]]&lt;=50,"46-50",Table1[[#This Row],[Age]]&lt;=55,"51-55",Table1[[#This Row],[Age]]&lt;=60,"56-60",Table1[[#This Row],[Age]]&lt;=66,"61-66")</f>
        <v>46-50</v>
      </c>
      <c r="O253" t="s">
        <v>1077</v>
      </c>
      <c r="P253" t="str" cm="1">
        <f t="array" ref="P253">_xlfn.IFS(Table1[[#This Row],[Company Tenure]]&lt;=5,"1-5",Table1[[#This Row],[Company Tenure]]&lt;=10,"6-10",Table1[[#This Row],[Company Tenure]]&lt;=15,"11-15",Table1[[#This Row],[Company Tenure]]&lt;=20, "15-20",Table1[[#This Row],[Company Tenure]]&gt;20,"Above 20")</f>
        <v>Above 20</v>
      </c>
    </row>
    <row r="254" spans="1:16" x14ac:dyDescent="0.25">
      <c r="A254" t="s">
        <v>602</v>
      </c>
      <c r="B254" t="s">
        <v>633</v>
      </c>
      <c r="C254" t="s">
        <v>166</v>
      </c>
      <c r="D254" t="s">
        <v>23</v>
      </c>
      <c r="E254">
        <v>48</v>
      </c>
      <c r="F254" t="s">
        <v>32</v>
      </c>
      <c r="G254" t="s">
        <v>63</v>
      </c>
      <c r="H254" s="2">
        <v>92486</v>
      </c>
      <c r="I254" s="1">
        <v>43694</v>
      </c>
      <c r="J254" s="3">
        <v>7</v>
      </c>
      <c r="K254" t="s">
        <v>603</v>
      </c>
      <c r="L254" t="s">
        <v>207</v>
      </c>
      <c r="M254">
        <v>3</v>
      </c>
      <c r="N254" t="str" cm="1">
        <f t="array" ref="N254">_xlfn.IFS(AND(24&lt;=Table1[[#This Row],[Age]],Table1[[#This Row],[Age]]&lt;=30),"24-30",Table1[[#This Row],[Age]]&lt;=35,"31-35",Table1[[#This Row],[Age]]&lt;=40,"36-40",Table1[[#This Row],[Age]]&lt;=45,"41-45",Table1[[#This Row],[Age]]&lt;=50,"46-50",Table1[[#This Row],[Age]]&lt;=55,"51-55",Table1[[#This Row],[Age]]&lt;=60,"56-60",Table1[[#This Row],[Age]]&lt;=66,"61-66")</f>
        <v>46-50</v>
      </c>
      <c r="O254" t="s">
        <v>1077</v>
      </c>
      <c r="P254" t="str" cm="1">
        <f t="array" ref="P254">_xlfn.IFS(Table1[[#This Row],[Company Tenure]]&lt;=5,"1-5",Table1[[#This Row],[Company Tenure]]&lt;=10,"6-10",Table1[[#This Row],[Company Tenure]]&lt;=15,"11-15",Table1[[#This Row],[Company Tenure]]&lt;=20, "15-20",Table1[[#This Row],[Company Tenure]]&gt;20,"Above 20")</f>
        <v>6-10</v>
      </c>
    </row>
    <row r="255" spans="1:16" x14ac:dyDescent="0.25">
      <c r="A255" t="s">
        <v>604</v>
      </c>
      <c r="B255" t="s">
        <v>6</v>
      </c>
      <c r="C255" t="s">
        <v>562</v>
      </c>
      <c r="D255" t="s">
        <v>23</v>
      </c>
      <c r="E255">
        <v>51</v>
      </c>
      <c r="F255" t="s">
        <v>32</v>
      </c>
      <c r="G255" t="s">
        <v>2</v>
      </c>
      <c r="H255" s="2">
        <v>113616</v>
      </c>
      <c r="I255" s="1">
        <v>39281</v>
      </c>
      <c r="J255" s="3">
        <v>19</v>
      </c>
      <c r="K255" t="s">
        <v>605</v>
      </c>
      <c r="L255" t="s">
        <v>14</v>
      </c>
      <c r="M255">
        <v>3</v>
      </c>
      <c r="N255" t="str" cm="1">
        <f t="array" ref="N255">_xlfn.IFS(AND(24&lt;=Table1[[#This Row],[Age]],Table1[[#This Row],[Age]]&lt;=30),"24-30",Table1[[#This Row],[Age]]&lt;=35,"31-35",Table1[[#This Row],[Age]]&lt;=40,"36-40",Table1[[#This Row],[Age]]&lt;=45,"41-45",Table1[[#This Row],[Age]]&lt;=50,"46-50",Table1[[#This Row],[Age]]&lt;=55,"51-55",Table1[[#This Row],[Age]]&lt;=60,"56-60",Table1[[#This Row],[Age]]&lt;=66,"61-66")</f>
        <v>51-55</v>
      </c>
      <c r="O255" t="s">
        <v>1074</v>
      </c>
      <c r="P255" t="str" cm="1">
        <f t="array" ref="P255">_xlfn.IFS(Table1[[#This Row],[Company Tenure]]&lt;=5,"1-5",Table1[[#This Row],[Company Tenure]]&lt;=10,"6-10",Table1[[#This Row],[Company Tenure]]&lt;=15,"11-15",Table1[[#This Row],[Company Tenure]]&lt;=20, "15-20",Table1[[#This Row],[Company Tenure]]&gt;20,"Above 20")</f>
        <v>15-20</v>
      </c>
    </row>
    <row r="256" spans="1:16" x14ac:dyDescent="0.25">
      <c r="A256" t="s">
        <v>606</v>
      </c>
      <c r="B256" t="s">
        <v>476</v>
      </c>
      <c r="C256" t="s">
        <v>356</v>
      </c>
      <c r="D256" t="s">
        <v>23</v>
      </c>
      <c r="E256">
        <v>46</v>
      </c>
      <c r="F256" t="s">
        <v>9</v>
      </c>
      <c r="G256" t="s">
        <v>105</v>
      </c>
      <c r="H256" s="2">
        <v>158382</v>
      </c>
      <c r="I256" s="1">
        <v>39152</v>
      </c>
      <c r="J256" s="3">
        <v>19</v>
      </c>
      <c r="K256" t="s">
        <v>607</v>
      </c>
      <c r="L256" t="s">
        <v>65</v>
      </c>
      <c r="M256">
        <v>5</v>
      </c>
      <c r="N256" t="str" cm="1">
        <f t="array" ref="N256">_xlfn.IFS(AND(24&lt;=Table1[[#This Row],[Age]],Table1[[#This Row],[Age]]&lt;=30),"24-30",Table1[[#This Row],[Age]]&lt;=35,"31-35",Table1[[#This Row],[Age]]&lt;=40,"36-40",Table1[[#This Row],[Age]]&lt;=45,"41-45",Table1[[#This Row],[Age]]&lt;=50,"46-50",Table1[[#This Row],[Age]]&lt;=55,"51-55",Table1[[#This Row],[Age]]&lt;=60,"56-60",Table1[[#This Row],[Age]]&lt;=66,"61-66")</f>
        <v>46-50</v>
      </c>
      <c r="O256" t="s">
        <v>1078</v>
      </c>
      <c r="P256" t="str" cm="1">
        <f t="array" ref="P256">_xlfn.IFS(Table1[[#This Row],[Company Tenure]]&lt;=5,"1-5",Table1[[#This Row],[Company Tenure]]&lt;=10,"6-10",Table1[[#This Row],[Company Tenure]]&lt;=15,"11-15",Table1[[#This Row],[Company Tenure]]&lt;=20, "15-20",Table1[[#This Row],[Company Tenure]]&gt;20,"Above 20")</f>
        <v>15-20</v>
      </c>
    </row>
    <row r="257" spans="1:16" x14ac:dyDescent="0.25">
      <c r="A257" t="s">
        <v>608</v>
      </c>
      <c r="B257" t="s">
        <v>115</v>
      </c>
      <c r="C257" t="s">
        <v>215</v>
      </c>
      <c r="D257" t="s">
        <v>1</v>
      </c>
      <c r="E257">
        <v>51</v>
      </c>
      <c r="F257" t="s">
        <v>142</v>
      </c>
      <c r="G257" t="s">
        <v>100</v>
      </c>
      <c r="H257" s="2">
        <v>51628</v>
      </c>
      <c r="I257" s="1">
        <v>40673</v>
      </c>
      <c r="J257" s="3">
        <v>15</v>
      </c>
      <c r="K257" t="s">
        <v>217</v>
      </c>
      <c r="L257" t="s">
        <v>25</v>
      </c>
      <c r="M257">
        <v>3</v>
      </c>
      <c r="N257" t="str" cm="1">
        <f t="array" ref="N257">_xlfn.IFS(AND(24&lt;=Table1[[#This Row],[Age]],Table1[[#This Row],[Age]]&lt;=30),"24-30",Table1[[#This Row],[Age]]&lt;=35,"31-35",Table1[[#This Row],[Age]]&lt;=40,"36-40",Table1[[#This Row],[Age]]&lt;=45,"41-45",Table1[[#This Row],[Age]]&lt;=50,"46-50",Table1[[#This Row],[Age]]&lt;=55,"51-55",Table1[[#This Row],[Age]]&lt;=60,"56-60",Table1[[#This Row],[Age]]&lt;=66,"61-66")</f>
        <v>51-55</v>
      </c>
      <c r="O257" t="s">
        <v>1077</v>
      </c>
      <c r="P257" t="str" cm="1">
        <f t="array" ref="P257">_xlfn.IFS(Table1[[#This Row],[Company Tenure]]&lt;=5,"1-5",Table1[[#This Row],[Company Tenure]]&lt;=10,"6-10",Table1[[#This Row],[Company Tenure]]&lt;=15,"11-15",Table1[[#This Row],[Company Tenure]]&lt;=20, "15-20",Table1[[#This Row],[Company Tenure]]&gt;20,"Above 20")</f>
        <v>11-15</v>
      </c>
    </row>
    <row r="258" spans="1:16" x14ac:dyDescent="0.25">
      <c r="A258" t="s">
        <v>609</v>
      </c>
      <c r="B258" t="s">
        <v>633</v>
      </c>
      <c r="C258" t="s">
        <v>799</v>
      </c>
      <c r="D258" t="s">
        <v>23</v>
      </c>
      <c r="E258">
        <v>41</v>
      </c>
      <c r="F258" t="s">
        <v>203</v>
      </c>
      <c r="G258" t="s">
        <v>44</v>
      </c>
      <c r="H258" s="2">
        <v>54949</v>
      </c>
      <c r="I258" s="1">
        <v>44222</v>
      </c>
      <c r="J258" s="3">
        <v>5</v>
      </c>
      <c r="K258" t="s">
        <v>610</v>
      </c>
      <c r="L258" t="s">
        <v>49</v>
      </c>
      <c r="M258">
        <v>4</v>
      </c>
      <c r="N258" t="str" cm="1">
        <f t="array" ref="N258">_xlfn.IFS(AND(24&lt;=Table1[[#This Row],[Age]],Table1[[#This Row],[Age]]&lt;=30),"24-30",Table1[[#This Row],[Age]]&lt;=35,"31-35",Table1[[#This Row],[Age]]&lt;=40,"36-40",Table1[[#This Row],[Age]]&lt;=45,"41-45",Table1[[#This Row],[Age]]&lt;=50,"46-50",Table1[[#This Row],[Age]]&lt;=55,"51-55",Table1[[#This Row],[Age]]&lt;=60,"56-60",Table1[[#This Row],[Age]]&lt;=66,"61-66")</f>
        <v>41-45</v>
      </c>
      <c r="O258" t="s">
        <v>1077</v>
      </c>
      <c r="P258" t="str" cm="1">
        <f t="array" ref="P258">_xlfn.IFS(Table1[[#This Row],[Company Tenure]]&lt;=5,"1-5",Table1[[#This Row],[Company Tenure]]&lt;=10,"6-10",Table1[[#This Row],[Company Tenure]]&lt;=15,"11-15",Table1[[#This Row],[Company Tenure]]&lt;=20, "15-20",Table1[[#This Row],[Company Tenure]]&gt;20,"Above 20")</f>
        <v>1-5</v>
      </c>
    </row>
    <row r="259" spans="1:16" x14ac:dyDescent="0.25">
      <c r="A259" t="s">
        <v>611</v>
      </c>
      <c r="B259" t="s">
        <v>43</v>
      </c>
      <c r="C259" t="s">
        <v>22</v>
      </c>
      <c r="D259" t="s">
        <v>23</v>
      </c>
      <c r="E259">
        <v>31</v>
      </c>
      <c r="F259" t="s">
        <v>181</v>
      </c>
      <c r="G259" t="s">
        <v>44</v>
      </c>
      <c r="H259" s="2">
        <v>44759.85</v>
      </c>
      <c r="I259" s="1">
        <v>45577</v>
      </c>
      <c r="J259" s="3">
        <v>1</v>
      </c>
      <c r="K259" t="s">
        <v>45</v>
      </c>
      <c r="L259" t="s">
        <v>14</v>
      </c>
      <c r="M259">
        <v>3</v>
      </c>
      <c r="N259" t="str" cm="1">
        <f t="array" ref="N259">_xlfn.IFS(AND(24&lt;=Table1[[#This Row],[Age]],Table1[[#This Row],[Age]]&lt;=30),"24-30",Table1[[#This Row],[Age]]&lt;=35,"31-35",Table1[[#This Row],[Age]]&lt;=40,"36-40",Table1[[#This Row],[Age]]&lt;=45,"41-45",Table1[[#This Row],[Age]]&lt;=50,"46-50",Table1[[#This Row],[Age]]&lt;=55,"51-55",Table1[[#This Row],[Age]]&lt;=60,"56-60",Table1[[#This Row],[Age]]&lt;=66,"61-66")</f>
        <v>31-35</v>
      </c>
      <c r="O259" t="s">
        <v>1076</v>
      </c>
      <c r="P259" t="str" cm="1">
        <f t="array" ref="P259">_xlfn.IFS(Table1[[#This Row],[Company Tenure]]&lt;=5,"1-5",Table1[[#This Row],[Company Tenure]]&lt;=10,"6-10",Table1[[#This Row],[Company Tenure]]&lt;=15,"11-15",Table1[[#This Row],[Company Tenure]]&lt;=20, "15-20",Table1[[#This Row],[Company Tenure]]&gt;20,"Above 20")</f>
        <v>1-5</v>
      </c>
    </row>
    <row r="260" spans="1:16" x14ac:dyDescent="0.25">
      <c r="A260" t="s">
        <v>612</v>
      </c>
      <c r="B260" t="s">
        <v>321</v>
      </c>
      <c r="C260" t="s">
        <v>7</v>
      </c>
      <c r="D260" t="s">
        <v>23</v>
      </c>
      <c r="E260">
        <v>49</v>
      </c>
      <c r="F260" t="s">
        <v>36</v>
      </c>
      <c r="G260" t="s">
        <v>37</v>
      </c>
      <c r="H260" s="2">
        <v>98373</v>
      </c>
      <c r="I260" s="1">
        <v>44899</v>
      </c>
      <c r="J260" s="3">
        <v>3</v>
      </c>
      <c r="K260" t="s">
        <v>613</v>
      </c>
      <c r="L260" t="s">
        <v>4</v>
      </c>
      <c r="M260">
        <v>1</v>
      </c>
      <c r="N260" t="str" cm="1">
        <f t="array" ref="N260">_xlfn.IFS(AND(24&lt;=Table1[[#This Row],[Age]],Table1[[#This Row],[Age]]&lt;=30),"24-30",Table1[[#This Row],[Age]]&lt;=35,"31-35",Table1[[#This Row],[Age]]&lt;=40,"36-40",Table1[[#This Row],[Age]]&lt;=45,"41-45",Table1[[#This Row],[Age]]&lt;=50,"46-50",Table1[[#This Row],[Age]]&lt;=55,"51-55",Table1[[#This Row],[Age]]&lt;=60,"56-60",Table1[[#This Row],[Age]]&lt;=66,"61-66")</f>
        <v>46-50</v>
      </c>
      <c r="O260" t="s">
        <v>1077</v>
      </c>
      <c r="P260" t="str" cm="1">
        <f t="array" ref="P260">_xlfn.IFS(Table1[[#This Row],[Company Tenure]]&lt;=5,"1-5",Table1[[#This Row],[Company Tenure]]&lt;=10,"6-10",Table1[[#This Row],[Company Tenure]]&lt;=15,"11-15",Table1[[#This Row],[Company Tenure]]&lt;=20, "15-20",Table1[[#This Row],[Company Tenure]]&gt;20,"Above 20")</f>
        <v>1-5</v>
      </c>
    </row>
    <row r="261" spans="1:16" x14ac:dyDescent="0.25">
      <c r="A261" t="s">
        <v>614</v>
      </c>
      <c r="B261" t="s">
        <v>714</v>
      </c>
      <c r="C261" t="s">
        <v>402</v>
      </c>
      <c r="D261" t="s">
        <v>1</v>
      </c>
      <c r="E261">
        <v>62</v>
      </c>
      <c r="F261" t="s">
        <v>313</v>
      </c>
      <c r="G261" t="s">
        <v>37</v>
      </c>
      <c r="H261" s="2">
        <v>92665.25</v>
      </c>
      <c r="I261" s="1">
        <v>38439</v>
      </c>
      <c r="J261" s="3">
        <v>21</v>
      </c>
      <c r="K261" t="s">
        <v>615</v>
      </c>
      <c r="L261" t="s">
        <v>54</v>
      </c>
      <c r="M261">
        <v>3</v>
      </c>
      <c r="N261" t="str" cm="1">
        <f t="array" ref="N261">_xlfn.IFS(AND(24&lt;=Table1[[#This Row],[Age]],Table1[[#This Row],[Age]]&lt;=30),"24-30",Table1[[#This Row],[Age]]&lt;=35,"31-35",Table1[[#This Row],[Age]]&lt;=40,"36-40",Table1[[#This Row],[Age]]&lt;=45,"41-45",Table1[[#This Row],[Age]]&lt;=50,"46-50",Table1[[#This Row],[Age]]&lt;=55,"51-55",Table1[[#This Row],[Age]]&lt;=60,"56-60",Table1[[#This Row],[Age]]&lt;=66,"61-66")</f>
        <v>61-66</v>
      </c>
      <c r="O261" t="s">
        <v>1077</v>
      </c>
      <c r="P261" t="str" cm="1">
        <f t="array" ref="P261">_xlfn.IFS(Table1[[#This Row],[Company Tenure]]&lt;=5,"1-5",Table1[[#This Row],[Company Tenure]]&lt;=10,"6-10",Table1[[#This Row],[Company Tenure]]&lt;=15,"11-15",Table1[[#This Row],[Company Tenure]]&lt;=20, "15-20",Table1[[#This Row],[Company Tenure]]&gt;20,"Above 20")</f>
        <v>Above 20</v>
      </c>
    </row>
    <row r="262" spans="1:16" x14ac:dyDescent="0.25">
      <c r="A262" t="s">
        <v>616</v>
      </c>
      <c r="B262" t="s">
        <v>334</v>
      </c>
      <c r="C262" t="s">
        <v>402</v>
      </c>
      <c r="D262" t="s">
        <v>1</v>
      </c>
      <c r="E262">
        <v>43</v>
      </c>
      <c r="F262" t="s">
        <v>142</v>
      </c>
      <c r="G262" t="s">
        <v>161</v>
      </c>
      <c r="H262" s="2">
        <v>126991</v>
      </c>
      <c r="I262" s="1">
        <v>40666</v>
      </c>
      <c r="J262" s="3">
        <v>15</v>
      </c>
      <c r="K262" t="s">
        <v>617</v>
      </c>
      <c r="L262" t="s">
        <v>120</v>
      </c>
      <c r="M262">
        <v>3</v>
      </c>
      <c r="N262" t="str" cm="1">
        <f t="array" ref="N262">_xlfn.IFS(AND(24&lt;=Table1[[#This Row],[Age]],Table1[[#This Row],[Age]]&lt;=30),"24-30",Table1[[#This Row],[Age]]&lt;=35,"31-35",Table1[[#This Row],[Age]]&lt;=40,"36-40",Table1[[#This Row],[Age]]&lt;=45,"41-45",Table1[[#This Row],[Age]]&lt;=50,"46-50",Table1[[#This Row],[Age]]&lt;=55,"51-55",Table1[[#This Row],[Age]]&lt;=60,"56-60",Table1[[#This Row],[Age]]&lt;=66,"61-66")</f>
        <v>41-45</v>
      </c>
      <c r="O262" t="s">
        <v>1074</v>
      </c>
      <c r="P262" t="str" cm="1">
        <f t="array" ref="P262">_xlfn.IFS(Table1[[#This Row],[Company Tenure]]&lt;=5,"1-5",Table1[[#This Row],[Company Tenure]]&lt;=10,"6-10",Table1[[#This Row],[Company Tenure]]&lt;=15,"11-15",Table1[[#This Row],[Company Tenure]]&lt;=20, "15-20",Table1[[#This Row],[Company Tenure]]&gt;20,"Above 20")</f>
        <v>11-15</v>
      </c>
    </row>
    <row r="263" spans="1:16" x14ac:dyDescent="0.25">
      <c r="A263" t="s">
        <v>618</v>
      </c>
      <c r="B263" t="s">
        <v>469</v>
      </c>
      <c r="C263" t="s">
        <v>291</v>
      </c>
      <c r="D263" t="s">
        <v>8</v>
      </c>
      <c r="E263">
        <v>59</v>
      </c>
      <c r="F263" t="s">
        <v>142</v>
      </c>
      <c r="G263" t="s">
        <v>44</v>
      </c>
      <c r="H263" s="2">
        <v>48997.24</v>
      </c>
      <c r="I263" s="1">
        <v>38555</v>
      </c>
      <c r="J263" s="3">
        <v>21</v>
      </c>
      <c r="K263" t="s">
        <v>470</v>
      </c>
      <c r="L263" t="s">
        <v>107</v>
      </c>
      <c r="M263">
        <v>3</v>
      </c>
      <c r="N263" t="str" cm="1">
        <f t="array" ref="N263">_xlfn.IFS(AND(24&lt;=Table1[[#This Row],[Age]],Table1[[#This Row],[Age]]&lt;=30),"24-30",Table1[[#This Row],[Age]]&lt;=35,"31-35",Table1[[#This Row],[Age]]&lt;=40,"36-40",Table1[[#This Row],[Age]]&lt;=45,"41-45",Table1[[#This Row],[Age]]&lt;=50,"46-50",Table1[[#This Row],[Age]]&lt;=55,"51-55",Table1[[#This Row],[Age]]&lt;=60,"56-60",Table1[[#This Row],[Age]]&lt;=66,"61-66")</f>
        <v>56-60</v>
      </c>
      <c r="O263" t="s">
        <v>1076</v>
      </c>
      <c r="P263" t="str" cm="1">
        <f t="array" ref="P263">_xlfn.IFS(Table1[[#This Row],[Company Tenure]]&lt;=5,"1-5",Table1[[#This Row],[Company Tenure]]&lt;=10,"6-10",Table1[[#This Row],[Company Tenure]]&lt;=15,"11-15",Table1[[#This Row],[Company Tenure]]&lt;=20, "15-20",Table1[[#This Row],[Company Tenure]]&gt;20,"Above 20")</f>
        <v>Above 20</v>
      </c>
    </row>
    <row r="264" spans="1:16" x14ac:dyDescent="0.25">
      <c r="A264" t="s">
        <v>619</v>
      </c>
      <c r="B264" t="s">
        <v>514</v>
      </c>
      <c r="C264" t="s">
        <v>124</v>
      </c>
      <c r="D264" t="s">
        <v>23</v>
      </c>
      <c r="E264">
        <v>44</v>
      </c>
      <c r="F264" t="s">
        <v>154</v>
      </c>
      <c r="G264" t="s">
        <v>2</v>
      </c>
      <c r="H264" s="2">
        <v>59638.98</v>
      </c>
      <c r="I264" s="1">
        <v>40355</v>
      </c>
      <c r="J264" s="3">
        <v>16</v>
      </c>
      <c r="K264" t="s">
        <v>620</v>
      </c>
      <c r="L264" t="s">
        <v>14</v>
      </c>
      <c r="M264">
        <v>1</v>
      </c>
      <c r="N264" t="str" cm="1">
        <f t="array" ref="N264">_xlfn.IFS(AND(24&lt;=Table1[[#This Row],[Age]],Table1[[#This Row],[Age]]&lt;=30),"24-30",Table1[[#This Row],[Age]]&lt;=35,"31-35",Table1[[#This Row],[Age]]&lt;=40,"36-40",Table1[[#This Row],[Age]]&lt;=45,"41-45",Table1[[#This Row],[Age]]&lt;=50,"46-50",Table1[[#This Row],[Age]]&lt;=55,"51-55",Table1[[#This Row],[Age]]&lt;=60,"56-60",Table1[[#This Row],[Age]]&lt;=66,"61-66")</f>
        <v>41-45</v>
      </c>
      <c r="O264" t="s">
        <v>1077</v>
      </c>
      <c r="P264" t="str" cm="1">
        <f t="array" ref="P264">_xlfn.IFS(Table1[[#This Row],[Company Tenure]]&lt;=5,"1-5",Table1[[#This Row],[Company Tenure]]&lt;=10,"6-10",Table1[[#This Row],[Company Tenure]]&lt;=15,"11-15",Table1[[#This Row],[Company Tenure]]&lt;=20, "15-20",Table1[[#This Row],[Company Tenure]]&gt;20,"Above 20")</f>
        <v>15-20</v>
      </c>
    </row>
    <row r="265" spans="1:16" x14ac:dyDescent="0.25">
      <c r="A265" t="s">
        <v>621</v>
      </c>
      <c r="B265" t="s">
        <v>334</v>
      </c>
      <c r="C265" t="s">
        <v>222</v>
      </c>
      <c r="D265" t="s">
        <v>1</v>
      </c>
      <c r="E265">
        <v>40</v>
      </c>
      <c r="F265" t="s">
        <v>181</v>
      </c>
      <c r="G265" t="s">
        <v>44</v>
      </c>
      <c r="H265" s="2">
        <v>47867.1</v>
      </c>
      <c r="I265" s="1">
        <v>43895</v>
      </c>
      <c r="J265" s="3">
        <v>6</v>
      </c>
      <c r="K265" t="s">
        <v>622</v>
      </c>
      <c r="L265" t="s">
        <v>207</v>
      </c>
      <c r="M265">
        <v>5</v>
      </c>
      <c r="N265" t="str" cm="1">
        <f t="array" ref="N265">_xlfn.IFS(AND(24&lt;=Table1[[#This Row],[Age]],Table1[[#This Row],[Age]]&lt;=30),"24-30",Table1[[#This Row],[Age]]&lt;=35,"31-35",Table1[[#This Row],[Age]]&lt;=40,"36-40",Table1[[#This Row],[Age]]&lt;=45,"41-45",Table1[[#This Row],[Age]]&lt;=50,"46-50",Table1[[#This Row],[Age]]&lt;=55,"51-55",Table1[[#This Row],[Age]]&lt;=60,"56-60",Table1[[#This Row],[Age]]&lt;=66,"61-66")</f>
        <v>36-40</v>
      </c>
      <c r="O265" t="s">
        <v>1076</v>
      </c>
      <c r="P265" t="str" cm="1">
        <f t="array" ref="P265">_xlfn.IFS(Table1[[#This Row],[Company Tenure]]&lt;=5,"1-5",Table1[[#This Row],[Company Tenure]]&lt;=10,"6-10",Table1[[#This Row],[Company Tenure]]&lt;=15,"11-15",Table1[[#This Row],[Company Tenure]]&lt;=20, "15-20",Table1[[#This Row],[Company Tenure]]&gt;20,"Above 20")</f>
        <v>6-10</v>
      </c>
    </row>
    <row r="266" spans="1:16" x14ac:dyDescent="0.25">
      <c r="A266" t="s">
        <v>623</v>
      </c>
      <c r="B266" t="s">
        <v>624</v>
      </c>
      <c r="C266" t="s">
        <v>80</v>
      </c>
      <c r="D266" t="s">
        <v>8</v>
      </c>
      <c r="E266">
        <v>37</v>
      </c>
      <c r="F266" t="s">
        <v>203</v>
      </c>
      <c r="G266" t="s">
        <v>63</v>
      </c>
      <c r="H266" s="2">
        <v>50821</v>
      </c>
      <c r="I266" s="1">
        <v>44955</v>
      </c>
      <c r="J266" s="3">
        <v>3</v>
      </c>
      <c r="K266" t="s">
        <v>625</v>
      </c>
      <c r="L266" t="s">
        <v>85</v>
      </c>
      <c r="M266">
        <v>2</v>
      </c>
      <c r="N266" t="str" cm="1">
        <f t="array" ref="N266">_xlfn.IFS(AND(24&lt;=Table1[[#This Row],[Age]],Table1[[#This Row],[Age]]&lt;=30),"24-30",Table1[[#This Row],[Age]]&lt;=35,"31-35",Table1[[#This Row],[Age]]&lt;=40,"36-40",Table1[[#This Row],[Age]]&lt;=45,"41-45",Table1[[#This Row],[Age]]&lt;=50,"46-50",Table1[[#This Row],[Age]]&lt;=55,"51-55",Table1[[#This Row],[Age]]&lt;=60,"56-60",Table1[[#This Row],[Age]]&lt;=66,"61-66")</f>
        <v>36-40</v>
      </c>
      <c r="O266" t="s">
        <v>1077</v>
      </c>
      <c r="P266" t="str" cm="1">
        <f t="array" ref="P266">_xlfn.IFS(Table1[[#This Row],[Company Tenure]]&lt;=5,"1-5",Table1[[#This Row],[Company Tenure]]&lt;=10,"6-10",Table1[[#This Row],[Company Tenure]]&lt;=15,"11-15",Table1[[#This Row],[Company Tenure]]&lt;=20, "15-20",Table1[[#This Row],[Company Tenure]]&gt;20,"Above 20")</f>
        <v>1-5</v>
      </c>
    </row>
    <row r="267" spans="1:16" x14ac:dyDescent="0.25">
      <c r="A267" t="s">
        <v>626</v>
      </c>
      <c r="B267" t="s">
        <v>6</v>
      </c>
      <c r="C267" t="s">
        <v>153</v>
      </c>
      <c r="D267" t="s">
        <v>8</v>
      </c>
      <c r="E267">
        <v>51</v>
      </c>
      <c r="F267" t="s">
        <v>142</v>
      </c>
      <c r="G267" t="s">
        <v>63</v>
      </c>
      <c r="H267" s="2">
        <v>67722</v>
      </c>
      <c r="I267" s="1">
        <v>38560</v>
      </c>
      <c r="J267" s="3">
        <v>21</v>
      </c>
      <c r="K267" t="s">
        <v>627</v>
      </c>
      <c r="L267" t="s">
        <v>85</v>
      </c>
      <c r="M267">
        <v>3</v>
      </c>
      <c r="N267" t="str" cm="1">
        <f t="array" ref="N267">_xlfn.IFS(AND(24&lt;=Table1[[#This Row],[Age]],Table1[[#This Row],[Age]]&lt;=30),"24-30",Table1[[#This Row],[Age]]&lt;=35,"31-35",Table1[[#This Row],[Age]]&lt;=40,"36-40",Table1[[#This Row],[Age]]&lt;=45,"41-45",Table1[[#This Row],[Age]]&lt;=50,"46-50",Table1[[#This Row],[Age]]&lt;=55,"51-55",Table1[[#This Row],[Age]]&lt;=60,"56-60",Table1[[#This Row],[Age]]&lt;=66,"61-66")</f>
        <v>51-55</v>
      </c>
      <c r="O267" t="s">
        <v>1077</v>
      </c>
      <c r="P267" t="str" cm="1">
        <f t="array" ref="P267">_xlfn.IFS(Table1[[#This Row],[Company Tenure]]&lt;=5,"1-5",Table1[[#This Row],[Company Tenure]]&lt;=10,"6-10",Table1[[#This Row],[Company Tenure]]&lt;=15,"11-15",Table1[[#This Row],[Company Tenure]]&lt;=20, "15-20",Table1[[#This Row],[Company Tenure]]&gt;20,"Above 20")</f>
        <v>Above 20</v>
      </c>
    </row>
    <row r="268" spans="1:16" x14ac:dyDescent="0.25">
      <c r="A268" t="s">
        <v>628</v>
      </c>
      <c r="B268" t="s">
        <v>624</v>
      </c>
      <c r="C268" t="s">
        <v>59</v>
      </c>
      <c r="D268" t="s">
        <v>8</v>
      </c>
      <c r="E268">
        <v>34</v>
      </c>
      <c r="F268" t="s">
        <v>32</v>
      </c>
      <c r="G268" t="s">
        <v>2</v>
      </c>
      <c r="H268" s="2">
        <v>107682</v>
      </c>
      <c r="I268" s="1">
        <v>43581</v>
      </c>
      <c r="J268" s="3">
        <v>7</v>
      </c>
      <c r="K268" t="s">
        <v>629</v>
      </c>
      <c r="L268" t="s">
        <v>19</v>
      </c>
      <c r="M268">
        <v>4</v>
      </c>
      <c r="N268" t="str" cm="1">
        <f t="array" ref="N268">_xlfn.IFS(AND(24&lt;=Table1[[#This Row],[Age]],Table1[[#This Row],[Age]]&lt;=30),"24-30",Table1[[#This Row],[Age]]&lt;=35,"31-35",Table1[[#This Row],[Age]]&lt;=40,"36-40",Table1[[#This Row],[Age]]&lt;=45,"41-45",Table1[[#This Row],[Age]]&lt;=50,"46-50",Table1[[#This Row],[Age]]&lt;=55,"51-55",Table1[[#This Row],[Age]]&lt;=60,"56-60",Table1[[#This Row],[Age]]&lt;=66,"61-66")</f>
        <v>31-35</v>
      </c>
      <c r="O268" t="s">
        <v>1074</v>
      </c>
      <c r="P268" t="str" cm="1">
        <f t="array" ref="P268">_xlfn.IFS(Table1[[#This Row],[Company Tenure]]&lt;=5,"1-5",Table1[[#This Row],[Company Tenure]]&lt;=10,"6-10",Table1[[#This Row],[Company Tenure]]&lt;=15,"11-15",Table1[[#This Row],[Company Tenure]]&lt;=20, "15-20",Table1[[#This Row],[Company Tenure]]&gt;20,"Above 20")</f>
        <v>6-10</v>
      </c>
    </row>
    <row r="269" spans="1:16" x14ac:dyDescent="0.25">
      <c r="A269" t="s">
        <v>630</v>
      </c>
      <c r="B269" t="s">
        <v>232</v>
      </c>
      <c r="C269" t="s">
        <v>80</v>
      </c>
      <c r="D269" t="s">
        <v>23</v>
      </c>
      <c r="E269">
        <v>39</v>
      </c>
      <c r="F269" t="s">
        <v>36</v>
      </c>
      <c r="G269" t="s">
        <v>63</v>
      </c>
      <c r="H269" s="2">
        <v>91994</v>
      </c>
      <c r="I269" s="1">
        <v>41482</v>
      </c>
      <c r="J269" s="3">
        <v>13</v>
      </c>
      <c r="K269" t="s">
        <v>631</v>
      </c>
      <c r="L269" t="s">
        <v>4</v>
      </c>
      <c r="M269">
        <v>3</v>
      </c>
      <c r="N269" t="str" cm="1">
        <f t="array" ref="N269">_xlfn.IFS(AND(24&lt;=Table1[[#This Row],[Age]],Table1[[#This Row],[Age]]&lt;=30),"24-30",Table1[[#This Row],[Age]]&lt;=35,"31-35",Table1[[#This Row],[Age]]&lt;=40,"36-40",Table1[[#This Row],[Age]]&lt;=45,"41-45",Table1[[#This Row],[Age]]&lt;=50,"46-50",Table1[[#This Row],[Age]]&lt;=55,"51-55",Table1[[#This Row],[Age]]&lt;=60,"56-60",Table1[[#This Row],[Age]]&lt;=66,"61-66")</f>
        <v>36-40</v>
      </c>
      <c r="O269" t="s">
        <v>1077</v>
      </c>
      <c r="P269" t="str" cm="1">
        <f t="array" ref="P269">_xlfn.IFS(Table1[[#This Row],[Company Tenure]]&lt;=5,"1-5",Table1[[#This Row],[Company Tenure]]&lt;=10,"6-10",Table1[[#This Row],[Company Tenure]]&lt;=15,"11-15",Table1[[#This Row],[Company Tenure]]&lt;=20, "15-20",Table1[[#This Row],[Company Tenure]]&gt;20,"Above 20")</f>
        <v>11-15</v>
      </c>
    </row>
    <row r="270" spans="1:16" x14ac:dyDescent="0.25">
      <c r="A270" t="s">
        <v>632</v>
      </c>
      <c r="B270" t="s">
        <v>633</v>
      </c>
      <c r="C270" t="s">
        <v>799</v>
      </c>
      <c r="D270" t="s">
        <v>23</v>
      </c>
      <c r="E270">
        <v>57</v>
      </c>
      <c r="F270" t="s">
        <v>142</v>
      </c>
      <c r="G270" t="s">
        <v>17</v>
      </c>
      <c r="H270" s="2">
        <v>55322</v>
      </c>
      <c r="I270" s="1">
        <v>39902</v>
      </c>
      <c r="J270" s="3">
        <v>17</v>
      </c>
      <c r="K270" t="s">
        <v>610</v>
      </c>
      <c r="L270" t="s">
        <v>25</v>
      </c>
      <c r="M270">
        <v>4</v>
      </c>
      <c r="N270" t="str" cm="1">
        <f t="array" ref="N270">_xlfn.IFS(AND(24&lt;=Table1[[#This Row],[Age]],Table1[[#This Row],[Age]]&lt;=30),"24-30",Table1[[#This Row],[Age]]&lt;=35,"31-35",Table1[[#This Row],[Age]]&lt;=40,"36-40",Table1[[#This Row],[Age]]&lt;=45,"41-45",Table1[[#This Row],[Age]]&lt;=50,"46-50",Table1[[#This Row],[Age]]&lt;=55,"51-55",Table1[[#This Row],[Age]]&lt;=60,"56-60",Table1[[#This Row],[Age]]&lt;=66,"61-66")</f>
        <v>56-60</v>
      </c>
      <c r="O270" t="s">
        <v>1077</v>
      </c>
      <c r="P270" t="str" cm="1">
        <f t="array" ref="P270">_xlfn.IFS(Table1[[#This Row],[Company Tenure]]&lt;=5,"1-5",Table1[[#This Row],[Company Tenure]]&lt;=10,"6-10",Table1[[#This Row],[Company Tenure]]&lt;=15,"11-15",Table1[[#This Row],[Company Tenure]]&lt;=20, "15-20",Table1[[#This Row],[Company Tenure]]&gt;20,"Above 20")</f>
        <v>15-20</v>
      </c>
    </row>
    <row r="271" spans="1:16" x14ac:dyDescent="0.25">
      <c r="A271" t="s">
        <v>634</v>
      </c>
      <c r="B271" t="s">
        <v>514</v>
      </c>
      <c r="C271" t="s">
        <v>80</v>
      </c>
      <c r="D271" t="s">
        <v>1</v>
      </c>
      <c r="E271">
        <v>44</v>
      </c>
      <c r="F271" t="s">
        <v>181</v>
      </c>
      <c r="G271" t="s">
        <v>63</v>
      </c>
      <c r="H271" s="2">
        <v>61772</v>
      </c>
      <c r="I271" s="1">
        <v>43647</v>
      </c>
      <c r="J271" s="3">
        <v>7</v>
      </c>
      <c r="K271" t="s">
        <v>635</v>
      </c>
      <c r="L271" t="s">
        <v>28</v>
      </c>
      <c r="M271">
        <v>3</v>
      </c>
      <c r="N271" t="str" cm="1">
        <f t="array" ref="N271">_xlfn.IFS(AND(24&lt;=Table1[[#This Row],[Age]],Table1[[#This Row],[Age]]&lt;=30),"24-30",Table1[[#This Row],[Age]]&lt;=35,"31-35",Table1[[#This Row],[Age]]&lt;=40,"36-40",Table1[[#This Row],[Age]]&lt;=45,"41-45",Table1[[#This Row],[Age]]&lt;=50,"46-50",Table1[[#This Row],[Age]]&lt;=55,"51-55",Table1[[#This Row],[Age]]&lt;=60,"56-60",Table1[[#This Row],[Age]]&lt;=66,"61-66")</f>
        <v>41-45</v>
      </c>
      <c r="O271" t="s">
        <v>1077</v>
      </c>
      <c r="P271" t="str" cm="1">
        <f t="array" ref="P271">_xlfn.IFS(Table1[[#This Row],[Company Tenure]]&lt;=5,"1-5",Table1[[#This Row],[Company Tenure]]&lt;=10,"6-10",Table1[[#This Row],[Company Tenure]]&lt;=15,"11-15",Table1[[#This Row],[Company Tenure]]&lt;=20, "15-20",Table1[[#This Row],[Company Tenure]]&gt;20,"Above 20")</f>
        <v>6-10</v>
      </c>
    </row>
    <row r="272" spans="1:16" x14ac:dyDescent="0.25">
      <c r="A272" t="s">
        <v>636</v>
      </c>
      <c r="B272" t="s">
        <v>451</v>
      </c>
      <c r="C272" t="s">
        <v>291</v>
      </c>
      <c r="D272" t="s">
        <v>23</v>
      </c>
      <c r="E272">
        <v>45</v>
      </c>
      <c r="F272" t="s">
        <v>154</v>
      </c>
      <c r="G272" t="s">
        <v>44</v>
      </c>
      <c r="H272" s="2">
        <v>42567</v>
      </c>
      <c r="I272" s="1">
        <v>40172</v>
      </c>
      <c r="J272" s="3">
        <v>16</v>
      </c>
      <c r="K272" t="s">
        <v>637</v>
      </c>
      <c r="L272" t="s">
        <v>65</v>
      </c>
      <c r="M272">
        <v>4</v>
      </c>
      <c r="N272" t="str" cm="1">
        <f t="array" ref="N272">_xlfn.IFS(AND(24&lt;=Table1[[#This Row],[Age]],Table1[[#This Row],[Age]]&lt;=30),"24-30",Table1[[#This Row],[Age]]&lt;=35,"31-35",Table1[[#This Row],[Age]]&lt;=40,"36-40",Table1[[#This Row],[Age]]&lt;=45,"41-45",Table1[[#This Row],[Age]]&lt;=50,"46-50",Table1[[#This Row],[Age]]&lt;=55,"51-55",Table1[[#This Row],[Age]]&lt;=60,"56-60",Table1[[#This Row],[Age]]&lt;=66,"61-66")</f>
        <v>41-45</v>
      </c>
      <c r="O272" t="s">
        <v>1076</v>
      </c>
      <c r="P272" t="str" cm="1">
        <f t="array" ref="P272">_xlfn.IFS(Table1[[#This Row],[Company Tenure]]&lt;=5,"1-5",Table1[[#This Row],[Company Tenure]]&lt;=10,"6-10",Table1[[#This Row],[Company Tenure]]&lt;=15,"11-15",Table1[[#This Row],[Company Tenure]]&lt;=20, "15-20",Table1[[#This Row],[Company Tenure]]&gt;20,"Above 20")</f>
        <v>15-20</v>
      </c>
    </row>
    <row r="273" spans="1:16" x14ac:dyDescent="0.25">
      <c r="A273" t="s">
        <v>638</v>
      </c>
      <c r="B273" t="s">
        <v>132</v>
      </c>
      <c r="C273" t="s">
        <v>104</v>
      </c>
      <c r="D273" t="s">
        <v>23</v>
      </c>
      <c r="E273">
        <v>49</v>
      </c>
      <c r="F273" t="s">
        <v>36</v>
      </c>
      <c r="G273" t="s">
        <v>17</v>
      </c>
      <c r="H273" s="2">
        <v>90793</v>
      </c>
      <c r="I273" s="1">
        <v>40734</v>
      </c>
      <c r="J273" s="3">
        <v>15</v>
      </c>
      <c r="K273" t="s">
        <v>639</v>
      </c>
      <c r="L273" t="s">
        <v>65</v>
      </c>
      <c r="M273">
        <v>4</v>
      </c>
      <c r="N273" t="str" cm="1">
        <f t="array" ref="N273">_xlfn.IFS(AND(24&lt;=Table1[[#This Row],[Age]],Table1[[#This Row],[Age]]&lt;=30),"24-30",Table1[[#This Row],[Age]]&lt;=35,"31-35",Table1[[#This Row],[Age]]&lt;=40,"36-40",Table1[[#This Row],[Age]]&lt;=45,"41-45",Table1[[#This Row],[Age]]&lt;=50,"46-50",Table1[[#This Row],[Age]]&lt;=55,"51-55",Table1[[#This Row],[Age]]&lt;=60,"56-60",Table1[[#This Row],[Age]]&lt;=66,"61-66")</f>
        <v>46-50</v>
      </c>
      <c r="O273" t="s">
        <v>1077</v>
      </c>
      <c r="P273" t="str" cm="1">
        <f t="array" ref="P273">_xlfn.IFS(Table1[[#This Row],[Company Tenure]]&lt;=5,"1-5",Table1[[#This Row],[Company Tenure]]&lt;=10,"6-10",Table1[[#This Row],[Company Tenure]]&lt;=15,"11-15",Table1[[#This Row],[Company Tenure]]&lt;=20, "15-20",Table1[[#This Row],[Company Tenure]]&gt;20,"Above 20")</f>
        <v>11-15</v>
      </c>
    </row>
    <row r="274" spans="1:16" x14ac:dyDescent="0.25">
      <c r="A274" t="s">
        <v>640</v>
      </c>
      <c r="B274" t="s">
        <v>268</v>
      </c>
      <c r="C274" t="s">
        <v>180</v>
      </c>
      <c r="D274" t="s">
        <v>8</v>
      </c>
      <c r="E274">
        <v>46</v>
      </c>
      <c r="F274" t="s">
        <v>36</v>
      </c>
      <c r="G274" t="s">
        <v>63</v>
      </c>
      <c r="H274" s="2">
        <v>91866</v>
      </c>
      <c r="I274" s="1">
        <v>44904</v>
      </c>
      <c r="J274" s="3">
        <v>3</v>
      </c>
      <c r="K274" t="s">
        <v>641</v>
      </c>
      <c r="L274" t="s">
        <v>54</v>
      </c>
      <c r="M274">
        <v>3</v>
      </c>
      <c r="N274" t="str" cm="1">
        <f t="array" ref="N274">_xlfn.IFS(AND(24&lt;=Table1[[#This Row],[Age]],Table1[[#This Row],[Age]]&lt;=30),"24-30",Table1[[#This Row],[Age]]&lt;=35,"31-35",Table1[[#This Row],[Age]]&lt;=40,"36-40",Table1[[#This Row],[Age]]&lt;=45,"41-45",Table1[[#This Row],[Age]]&lt;=50,"46-50",Table1[[#This Row],[Age]]&lt;=55,"51-55",Table1[[#This Row],[Age]]&lt;=60,"56-60",Table1[[#This Row],[Age]]&lt;=66,"61-66")</f>
        <v>46-50</v>
      </c>
      <c r="O274" t="s">
        <v>1077</v>
      </c>
      <c r="P274" t="str" cm="1">
        <f t="array" ref="P274">_xlfn.IFS(Table1[[#This Row],[Company Tenure]]&lt;=5,"1-5",Table1[[#This Row],[Company Tenure]]&lt;=10,"6-10",Table1[[#This Row],[Company Tenure]]&lt;=15,"11-15",Table1[[#This Row],[Company Tenure]]&lt;=20, "15-20",Table1[[#This Row],[Company Tenure]]&gt;20,"Above 20")</f>
        <v>1-5</v>
      </c>
    </row>
    <row r="275" spans="1:16" x14ac:dyDescent="0.25">
      <c r="A275" t="s">
        <v>642</v>
      </c>
      <c r="B275" t="s">
        <v>316</v>
      </c>
      <c r="C275" t="s">
        <v>104</v>
      </c>
      <c r="D275" t="s">
        <v>1</v>
      </c>
      <c r="E275">
        <v>39</v>
      </c>
      <c r="F275" t="s">
        <v>36</v>
      </c>
      <c r="G275" t="s">
        <v>2</v>
      </c>
      <c r="H275" s="2">
        <v>121851.65</v>
      </c>
      <c r="I275" s="1">
        <v>42442</v>
      </c>
      <c r="J275" s="3">
        <v>10</v>
      </c>
      <c r="K275" t="s">
        <v>643</v>
      </c>
      <c r="L275" t="s">
        <v>120</v>
      </c>
      <c r="M275">
        <v>5</v>
      </c>
      <c r="N275" t="str" cm="1">
        <f t="array" ref="N275">_xlfn.IFS(AND(24&lt;=Table1[[#This Row],[Age]],Table1[[#This Row],[Age]]&lt;=30),"24-30",Table1[[#This Row],[Age]]&lt;=35,"31-35",Table1[[#This Row],[Age]]&lt;=40,"36-40",Table1[[#This Row],[Age]]&lt;=45,"41-45",Table1[[#This Row],[Age]]&lt;=50,"46-50",Table1[[#This Row],[Age]]&lt;=55,"51-55",Table1[[#This Row],[Age]]&lt;=60,"56-60",Table1[[#This Row],[Age]]&lt;=66,"61-66")</f>
        <v>36-40</v>
      </c>
      <c r="O275" t="s">
        <v>1074</v>
      </c>
      <c r="P275" t="str" cm="1">
        <f t="array" ref="P275">_xlfn.IFS(Table1[[#This Row],[Company Tenure]]&lt;=5,"1-5",Table1[[#This Row],[Company Tenure]]&lt;=10,"6-10",Table1[[#This Row],[Company Tenure]]&lt;=15,"11-15",Table1[[#This Row],[Company Tenure]]&lt;=20, "15-20",Table1[[#This Row],[Company Tenure]]&gt;20,"Above 20")</f>
        <v>6-10</v>
      </c>
    </row>
    <row r="276" spans="1:16" x14ac:dyDescent="0.25">
      <c r="A276" t="s">
        <v>644</v>
      </c>
      <c r="B276" t="s">
        <v>21</v>
      </c>
      <c r="C276" t="s">
        <v>589</v>
      </c>
      <c r="D276" t="s">
        <v>1</v>
      </c>
      <c r="E276">
        <v>43</v>
      </c>
      <c r="F276" t="s">
        <v>295</v>
      </c>
      <c r="G276" t="s">
        <v>161</v>
      </c>
      <c r="H276" s="2">
        <v>156871</v>
      </c>
      <c r="I276" s="1">
        <v>40585</v>
      </c>
      <c r="J276" s="3">
        <v>15</v>
      </c>
      <c r="K276" t="s">
        <v>645</v>
      </c>
      <c r="L276" t="s">
        <v>39</v>
      </c>
      <c r="M276">
        <v>4</v>
      </c>
      <c r="N276" t="str" cm="1">
        <f t="array" ref="N276">_xlfn.IFS(AND(24&lt;=Table1[[#This Row],[Age]],Table1[[#This Row],[Age]]&lt;=30),"24-30",Table1[[#This Row],[Age]]&lt;=35,"31-35",Table1[[#This Row],[Age]]&lt;=40,"36-40",Table1[[#This Row],[Age]]&lt;=45,"41-45",Table1[[#This Row],[Age]]&lt;=50,"46-50",Table1[[#This Row],[Age]]&lt;=55,"51-55",Table1[[#This Row],[Age]]&lt;=60,"56-60",Table1[[#This Row],[Age]]&lt;=66,"61-66")</f>
        <v>41-45</v>
      </c>
      <c r="O276" t="s">
        <v>1078</v>
      </c>
      <c r="P276" t="str" cm="1">
        <f t="array" ref="P276">_xlfn.IFS(Table1[[#This Row],[Company Tenure]]&lt;=5,"1-5",Table1[[#This Row],[Company Tenure]]&lt;=10,"6-10",Table1[[#This Row],[Company Tenure]]&lt;=15,"11-15",Table1[[#This Row],[Company Tenure]]&lt;=20, "15-20",Table1[[#This Row],[Company Tenure]]&gt;20,"Above 20")</f>
        <v>11-15</v>
      </c>
    </row>
    <row r="277" spans="1:16" x14ac:dyDescent="0.25">
      <c r="A277" t="s">
        <v>646</v>
      </c>
      <c r="B277" t="s">
        <v>282</v>
      </c>
      <c r="C277" t="s">
        <v>485</v>
      </c>
      <c r="D277" t="s">
        <v>8</v>
      </c>
      <c r="E277">
        <v>49</v>
      </c>
      <c r="F277" t="s">
        <v>154</v>
      </c>
      <c r="G277" t="s">
        <v>216</v>
      </c>
      <c r="H277" s="2">
        <v>111756</v>
      </c>
      <c r="I277" s="1">
        <v>38718</v>
      </c>
      <c r="J277" s="3">
        <v>20</v>
      </c>
      <c r="K277" t="s">
        <v>647</v>
      </c>
      <c r="L277" t="s">
        <v>107</v>
      </c>
      <c r="M277">
        <v>1</v>
      </c>
      <c r="N277" t="str" cm="1">
        <f t="array" ref="N277">_xlfn.IFS(AND(24&lt;=Table1[[#This Row],[Age]],Table1[[#This Row],[Age]]&lt;=30),"24-30",Table1[[#This Row],[Age]]&lt;=35,"31-35",Table1[[#This Row],[Age]]&lt;=40,"36-40",Table1[[#This Row],[Age]]&lt;=45,"41-45",Table1[[#This Row],[Age]]&lt;=50,"46-50",Table1[[#This Row],[Age]]&lt;=55,"51-55",Table1[[#This Row],[Age]]&lt;=60,"56-60",Table1[[#This Row],[Age]]&lt;=66,"61-66")</f>
        <v>46-50</v>
      </c>
      <c r="O277" t="s">
        <v>1074</v>
      </c>
      <c r="P277" t="str" cm="1">
        <f t="array" ref="P277">_xlfn.IFS(Table1[[#This Row],[Company Tenure]]&lt;=5,"1-5",Table1[[#This Row],[Company Tenure]]&lt;=10,"6-10",Table1[[#This Row],[Company Tenure]]&lt;=15,"11-15",Table1[[#This Row],[Company Tenure]]&lt;=20, "15-20",Table1[[#This Row],[Company Tenure]]&gt;20,"Above 20")</f>
        <v>15-20</v>
      </c>
    </row>
    <row r="278" spans="1:16" x14ac:dyDescent="0.25">
      <c r="A278" t="s">
        <v>648</v>
      </c>
      <c r="B278" t="s">
        <v>530</v>
      </c>
      <c r="C278" t="s">
        <v>351</v>
      </c>
      <c r="D278" t="s">
        <v>8</v>
      </c>
      <c r="E278">
        <v>61</v>
      </c>
      <c r="F278" t="s">
        <v>203</v>
      </c>
      <c r="G278" t="s">
        <v>100</v>
      </c>
      <c r="H278" s="2">
        <v>50812.77</v>
      </c>
      <c r="I278" s="1">
        <v>38569</v>
      </c>
      <c r="J278" s="3">
        <v>21</v>
      </c>
      <c r="K278" t="s">
        <v>649</v>
      </c>
      <c r="L278" t="s">
        <v>28</v>
      </c>
      <c r="M278">
        <v>3</v>
      </c>
      <c r="N278" t="str" cm="1">
        <f t="array" ref="N278">_xlfn.IFS(AND(24&lt;=Table1[[#This Row],[Age]],Table1[[#This Row],[Age]]&lt;=30),"24-30",Table1[[#This Row],[Age]]&lt;=35,"31-35",Table1[[#This Row],[Age]]&lt;=40,"36-40",Table1[[#This Row],[Age]]&lt;=45,"41-45",Table1[[#This Row],[Age]]&lt;=50,"46-50",Table1[[#This Row],[Age]]&lt;=55,"51-55",Table1[[#This Row],[Age]]&lt;=60,"56-60",Table1[[#This Row],[Age]]&lt;=66,"61-66")</f>
        <v>61-66</v>
      </c>
      <c r="O278" t="s">
        <v>1077</v>
      </c>
      <c r="P278" t="str" cm="1">
        <f t="array" ref="P278">_xlfn.IFS(Table1[[#This Row],[Company Tenure]]&lt;=5,"1-5",Table1[[#This Row],[Company Tenure]]&lt;=10,"6-10",Table1[[#This Row],[Company Tenure]]&lt;=15,"11-15",Table1[[#This Row],[Company Tenure]]&lt;=20, "15-20",Table1[[#This Row],[Company Tenure]]&gt;20,"Above 20")</f>
        <v>Above 20</v>
      </c>
    </row>
    <row r="279" spans="1:16" x14ac:dyDescent="0.25">
      <c r="A279" t="s">
        <v>650</v>
      </c>
      <c r="B279" t="s">
        <v>316</v>
      </c>
      <c r="C279" t="s">
        <v>215</v>
      </c>
      <c r="D279" t="s">
        <v>23</v>
      </c>
      <c r="E279">
        <v>51</v>
      </c>
      <c r="F279" t="s">
        <v>295</v>
      </c>
      <c r="G279" t="s">
        <v>161</v>
      </c>
      <c r="H279" s="2">
        <v>159772</v>
      </c>
      <c r="I279" s="1">
        <v>44888</v>
      </c>
      <c r="J279" s="3">
        <v>3</v>
      </c>
      <c r="K279" t="s">
        <v>651</v>
      </c>
      <c r="L279" t="s">
        <v>54</v>
      </c>
      <c r="M279">
        <v>5</v>
      </c>
      <c r="N279" t="str" cm="1">
        <f t="array" ref="N279">_xlfn.IFS(AND(24&lt;=Table1[[#This Row],[Age]],Table1[[#This Row],[Age]]&lt;=30),"24-30",Table1[[#This Row],[Age]]&lt;=35,"31-35",Table1[[#This Row],[Age]]&lt;=40,"36-40",Table1[[#This Row],[Age]]&lt;=45,"41-45",Table1[[#This Row],[Age]]&lt;=50,"46-50",Table1[[#This Row],[Age]]&lt;=55,"51-55",Table1[[#This Row],[Age]]&lt;=60,"56-60",Table1[[#This Row],[Age]]&lt;=66,"61-66")</f>
        <v>51-55</v>
      </c>
      <c r="O279" t="s">
        <v>1078</v>
      </c>
      <c r="P279" t="str" cm="1">
        <f t="array" ref="P279">_xlfn.IFS(Table1[[#This Row],[Company Tenure]]&lt;=5,"1-5",Table1[[#This Row],[Company Tenure]]&lt;=10,"6-10",Table1[[#This Row],[Company Tenure]]&lt;=15,"11-15",Table1[[#This Row],[Company Tenure]]&lt;=20, "15-20",Table1[[#This Row],[Company Tenure]]&gt;20,"Above 20")</f>
        <v>1-5</v>
      </c>
    </row>
    <row r="280" spans="1:16" x14ac:dyDescent="0.25">
      <c r="A280" t="s">
        <v>652</v>
      </c>
      <c r="B280" t="s">
        <v>355</v>
      </c>
      <c r="C280" t="s">
        <v>88</v>
      </c>
      <c r="D280" t="s">
        <v>8</v>
      </c>
      <c r="E280">
        <v>25</v>
      </c>
      <c r="F280" t="s">
        <v>32</v>
      </c>
      <c r="G280" t="s">
        <v>44</v>
      </c>
      <c r="H280" s="2">
        <v>69976</v>
      </c>
      <c r="I280" s="1">
        <v>44807</v>
      </c>
      <c r="J280" s="3">
        <v>4</v>
      </c>
      <c r="K280" t="s">
        <v>176</v>
      </c>
      <c r="L280" t="s">
        <v>54</v>
      </c>
      <c r="M280">
        <v>3</v>
      </c>
      <c r="N280" t="str" cm="1">
        <f t="array" ref="N280">_xlfn.IFS(AND(24&lt;=Table1[[#This Row],[Age]],Table1[[#This Row],[Age]]&lt;=30),"24-30",Table1[[#This Row],[Age]]&lt;=35,"31-35",Table1[[#This Row],[Age]]&lt;=40,"36-40",Table1[[#This Row],[Age]]&lt;=45,"41-45",Table1[[#This Row],[Age]]&lt;=50,"46-50",Table1[[#This Row],[Age]]&lt;=55,"51-55",Table1[[#This Row],[Age]]&lt;=60,"56-60",Table1[[#This Row],[Age]]&lt;=66,"61-66")</f>
        <v>24-30</v>
      </c>
      <c r="O280" t="s">
        <v>1077</v>
      </c>
      <c r="P280" t="str" cm="1">
        <f t="array" ref="P280">_xlfn.IFS(Table1[[#This Row],[Company Tenure]]&lt;=5,"1-5",Table1[[#This Row],[Company Tenure]]&lt;=10,"6-10",Table1[[#This Row],[Company Tenure]]&lt;=15,"11-15",Table1[[#This Row],[Company Tenure]]&lt;=20, "15-20",Table1[[#This Row],[Company Tenure]]&gt;20,"Above 20")</f>
        <v>1-5</v>
      </c>
    </row>
    <row r="281" spans="1:16" x14ac:dyDescent="0.25">
      <c r="A281" t="s">
        <v>653</v>
      </c>
      <c r="B281" t="s">
        <v>6</v>
      </c>
      <c r="C281" t="s">
        <v>562</v>
      </c>
      <c r="D281" t="s">
        <v>23</v>
      </c>
      <c r="E281">
        <v>32</v>
      </c>
      <c r="F281" t="s">
        <v>1066</v>
      </c>
      <c r="G281" t="s">
        <v>44</v>
      </c>
      <c r="H281" s="2">
        <v>66020</v>
      </c>
      <c r="I281" s="1">
        <v>43265</v>
      </c>
      <c r="J281" s="3">
        <v>8</v>
      </c>
      <c r="K281" t="s">
        <v>605</v>
      </c>
      <c r="L281" t="s">
        <v>14</v>
      </c>
      <c r="M281">
        <v>4</v>
      </c>
      <c r="N281" t="str" cm="1">
        <f t="array" ref="N281">_xlfn.IFS(AND(24&lt;=Table1[[#This Row],[Age]],Table1[[#This Row],[Age]]&lt;=30),"24-30",Table1[[#This Row],[Age]]&lt;=35,"31-35",Table1[[#This Row],[Age]]&lt;=40,"36-40",Table1[[#This Row],[Age]]&lt;=45,"41-45",Table1[[#This Row],[Age]]&lt;=50,"46-50",Table1[[#This Row],[Age]]&lt;=55,"51-55",Table1[[#This Row],[Age]]&lt;=60,"56-60",Table1[[#This Row],[Age]]&lt;=66,"61-66")</f>
        <v>31-35</v>
      </c>
      <c r="O281" t="s">
        <v>1077</v>
      </c>
      <c r="P281" t="str" cm="1">
        <f t="array" ref="P281">_xlfn.IFS(Table1[[#This Row],[Company Tenure]]&lt;=5,"1-5",Table1[[#This Row],[Company Tenure]]&lt;=10,"6-10",Table1[[#This Row],[Company Tenure]]&lt;=15,"11-15",Table1[[#This Row],[Company Tenure]]&lt;=20, "15-20",Table1[[#This Row],[Company Tenure]]&gt;20,"Above 20")</f>
        <v>6-10</v>
      </c>
    </row>
    <row r="282" spans="1:16" x14ac:dyDescent="0.25">
      <c r="A282" t="s">
        <v>654</v>
      </c>
      <c r="B282" t="s">
        <v>184</v>
      </c>
      <c r="C282" t="s">
        <v>76</v>
      </c>
      <c r="D282" t="s">
        <v>23</v>
      </c>
      <c r="E282">
        <v>46</v>
      </c>
      <c r="F282" t="s">
        <v>203</v>
      </c>
      <c r="G282" t="s">
        <v>161</v>
      </c>
      <c r="H282" s="2">
        <v>100765</v>
      </c>
      <c r="I282" s="1">
        <v>39391</v>
      </c>
      <c r="J282" s="3">
        <v>18</v>
      </c>
      <c r="K282" t="s">
        <v>655</v>
      </c>
      <c r="L282" t="s">
        <v>65</v>
      </c>
      <c r="M282">
        <v>3</v>
      </c>
      <c r="N282" t="str" cm="1">
        <f t="array" ref="N282">_xlfn.IFS(AND(24&lt;=Table1[[#This Row],[Age]],Table1[[#This Row],[Age]]&lt;=30),"24-30",Table1[[#This Row],[Age]]&lt;=35,"31-35",Table1[[#This Row],[Age]]&lt;=40,"36-40",Table1[[#This Row],[Age]]&lt;=45,"41-45",Table1[[#This Row],[Age]]&lt;=50,"46-50",Table1[[#This Row],[Age]]&lt;=55,"51-55",Table1[[#This Row],[Age]]&lt;=60,"56-60",Table1[[#This Row],[Age]]&lt;=66,"61-66")</f>
        <v>46-50</v>
      </c>
      <c r="O282" t="s">
        <v>1074</v>
      </c>
      <c r="P282" t="str" cm="1">
        <f t="array" ref="P282">_xlfn.IFS(Table1[[#This Row],[Company Tenure]]&lt;=5,"1-5",Table1[[#This Row],[Company Tenure]]&lt;=10,"6-10",Table1[[#This Row],[Company Tenure]]&lt;=15,"11-15",Table1[[#This Row],[Company Tenure]]&lt;=20, "15-20",Table1[[#This Row],[Company Tenure]]&gt;20,"Above 20")</f>
        <v>15-20</v>
      </c>
    </row>
    <row r="283" spans="1:16" x14ac:dyDescent="0.25">
      <c r="A283" t="s">
        <v>656</v>
      </c>
      <c r="B283" t="s">
        <v>132</v>
      </c>
      <c r="C283" t="s">
        <v>104</v>
      </c>
      <c r="D283" t="s">
        <v>1</v>
      </c>
      <c r="E283">
        <v>27</v>
      </c>
      <c r="F283" t="s">
        <v>142</v>
      </c>
      <c r="G283" t="s">
        <v>44</v>
      </c>
      <c r="H283" s="2">
        <v>48738.79</v>
      </c>
      <c r="I283" s="1">
        <v>44075</v>
      </c>
      <c r="J283" s="3">
        <v>6</v>
      </c>
      <c r="K283" t="s">
        <v>639</v>
      </c>
      <c r="L283" t="s">
        <v>28</v>
      </c>
      <c r="M283">
        <v>3</v>
      </c>
      <c r="N283" t="str" cm="1">
        <f t="array" ref="N283">_xlfn.IFS(AND(24&lt;=Table1[[#This Row],[Age]],Table1[[#This Row],[Age]]&lt;=30),"24-30",Table1[[#This Row],[Age]]&lt;=35,"31-35",Table1[[#This Row],[Age]]&lt;=40,"36-40",Table1[[#This Row],[Age]]&lt;=45,"41-45",Table1[[#This Row],[Age]]&lt;=50,"46-50",Table1[[#This Row],[Age]]&lt;=55,"51-55",Table1[[#This Row],[Age]]&lt;=60,"56-60",Table1[[#This Row],[Age]]&lt;=66,"61-66")</f>
        <v>24-30</v>
      </c>
      <c r="O283" t="s">
        <v>1076</v>
      </c>
      <c r="P283" t="str" cm="1">
        <f t="array" ref="P283">_xlfn.IFS(Table1[[#This Row],[Company Tenure]]&lt;=5,"1-5",Table1[[#This Row],[Company Tenure]]&lt;=10,"6-10",Table1[[#This Row],[Company Tenure]]&lt;=15,"11-15",Table1[[#This Row],[Company Tenure]]&lt;=20, "15-20",Table1[[#This Row],[Company Tenure]]&gt;20,"Above 20")</f>
        <v>6-10</v>
      </c>
    </row>
    <row r="284" spans="1:16" x14ac:dyDescent="0.25">
      <c r="A284" t="s">
        <v>657</v>
      </c>
      <c r="B284" t="s">
        <v>290</v>
      </c>
      <c r="C284" t="s">
        <v>308</v>
      </c>
      <c r="D284" t="s">
        <v>1</v>
      </c>
      <c r="E284">
        <v>29</v>
      </c>
      <c r="F284" t="s">
        <v>142</v>
      </c>
      <c r="G284" t="s">
        <v>44</v>
      </c>
      <c r="H284" s="2">
        <v>51819</v>
      </c>
      <c r="I284" s="1">
        <v>43464</v>
      </c>
      <c r="J284" s="3">
        <v>7</v>
      </c>
      <c r="K284" t="s">
        <v>658</v>
      </c>
      <c r="L284" t="s">
        <v>11</v>
      </c>
      <c r="M284">
        <v>4</v>
      </c>
      <c r="N284" t="str" cm="1">
        <f t="array" ref="N284">_xlfn.IFS(AND(24&lt;=Table1[[#This Row],[Age]],Table1[[#This Row],[Age]]&lt;=30),"24-30",Table1[[#This Row],[Age]]&lt;=35,"31-35",Table1[[#This Row],[Age]]&lt;=40,"36-40",Table1[[#This Row],[Age]]&lt;=45,"41-45",Table1[[#This Row],[Age]]&lt;=50,"46-50",Table1[[#This Row],[Age]]&lt;=55,"51-55",Table1[[#This Row],[Age]]&lt;=60,"56-60",Table1[[#This Row],[Age]]&lt;=66,"61-66")</f>
        <v>24-30</v>
      </c>
      <c r="O284" t="s">
        <v>1077</v>
      </c>
      <c r="P284" t="str" cm="1">
        <f t="array" ref="P284">_xlfn.IFS(Table1[[#This Row],[Company Tenure]]&lt;=5,"1-5",Table1[[#This Row],[Company Tenure]]&lt;=10,"6-10",Table1[[#This Row],[Company Tenure]]&lt;=15,"11-15",Table1[[#This Row],[Company Tenure]]&lt;=20, "15-20",Table1[[#This Row],[Company Tenure]]&gt;20,"Above 20")</f>
        <v>6-10</v>
      </c>
    </row>
    <row r="285" spans="1:16" x14ac:dyDescent="0.25">
      <c r="A285" t="s">
        <v>659</v>
      </c>
      <c r="B285" t="s">
        <v>56</v>
      </c>
      <c r="C285" t="s">
        <v>589</v>
      </c>
      <c r="D285" t="s">
        <v>1</v>
      </c>
      <c r="E285">
        <v>25</v>
      </c>
      <c r="F285" t="s">
        <v>9</v>
      </c>
      <c r="G285" t="s">
        <v>161</v>
      </c>
      <c r="H285" s="2">
        <v>187464</v>
      </c>
      <c r="I285" s="1" t="s">
        <v>1059</v>
      </c>
      <c r="J285" s="3" t="s">
        <v>1059</v>
      </c>
      <c r="K285" t="s">
        <v>57</v>
      </c>
      <c r="L285" t="s">
        <v>49</v>
      </c>
      <c r="M285">
        <v>5</v>
      </c>
      <c r="N285" t="str" cm="1">
        <f t="array" ref="N285">_xlfn.IFS(AND(24&lt;=Table1[[#This Row],[Age]],Table1[[#This Row],[Age]]&lt;=30),"24-30",Table1[[#This Row],[Age]]&lt;=35,"31-35",Table1[[#This Row],[Age]]&lt;=40,"36-40",Table1[[#This Row],[Age]]&lt;=45,"41-45",Table1[[#This Row],[Age]]&lt;=50,"46-50",Table1[[#This Row],[Age]]&lt;=55,"51-55",Table1[[#This Row],[Age]]&lt;=60,"56-60",Table1[[#This Row],[Age]]&lt;=66,"61-66")</f>
        <v>24-30</v>
      </c>
      <c r="O285" t="s">
        <v>1078</v>
      </c>
      <c r="P285" t="str" cm="1">
        <f t="array" ref="P285">_xlfn.IFS(Table1[[#This Row],[Company Tenure]]&lt;=5,"1-5",Table1[[#This Row],[Company Tenure]]&lt;=10,"6-10",Table1[[#This Row],[Company Tenure]]&lt;=15,"11-15",Table1[[#This Row],[Company Tenure]]&lt;=20, "15-20",Table1[[#This Row],[Company Tenure]]&gt;20,"Above 20")</f>
        <v>Above 20</v>
      </c>
    </row>
    <row r="286" spans="1:16" x14ac:dyDescent="0.25">
      <c r="A286" t="s">
        <v>660</v>
      </c>
      <c r="B286" t="s">
        <v>290</v>
      </c>
      <c r="C286" t="s">
        <v>375</v>
      </c>
      <c r="D286" t="s">
        <v>8</v>
      </c>
      <c r="E286">
        <v>44</v>
      </c>
      <c r="F286" t="s">
        <v>133</v>
      </c>
      <c r="G286" t="s">
        <v>2</v>
      </c>
      <c r="H286" s="2">
        <v>86065</v>
      </c>
      <c r="I286" s="1">
        <v>40191</v>
      </c>
      <c r="J286" s="3">
        <v>16</v>
      </c>
      <c r="K286" t="s">
        <v>661</v>
      </c>
      <c r="L286" t="s">
        <v>19</v>
      </c>
      <c r="M286">
        <v>3</v>
      </c>
      <c r="N286" t="str" cm="1">
        <f t="array" ref="N286">_xlfn.IFS(AND(24&lt;=Table1[[#This Row],[Age]],Table1[[#This Row],[Age]]&lt;=30),"24-30",Table1[[#This Row],[Age]]&lt;=35,"31-35",Table1[[#This Row],[Age]]&lt;=40,"36-40",Table1[[#This Row],[Age]]&lt;=45,"41-45",Table1[[#This Row],[Age]]&lt;=50,"46-50",Table1[[#This Row],[Age]]&lt;=55,"51-55",Table1[[#This Row],[Age]]&lt;=60,"56-60",Table1[[#This Row],[Age]]&lt;=66,"61-66")</f>
        <v>41-45</v>
      </c>
      <c r="O286" t="s">
        <v>1077</v>
      </c>
      <c r="P286" t="str" cm="1">
        <f t="array" ref="P286">_xlfn.IFS(Table1[[#This Row],[Company Tenure]]&lt;=5,"1-5",Table1[[#This Row],[Company Tenure]]&lt;=10,"6-10",Table1[[#This Row],[Company Tenure]]&lt;=15,"11-15",Table1[[#This Row],[Company Tenure]]&lt;=20, "15-20",Table1[[#This Row],[Company Tenure]]&gt;20,"Above 20")</f>
        <v>15-20</v>
      </c>
    </row>
    <row r="287" spans="1:16" x14ac:dyDescent="0.25">
      <c r="A287" t="s">
        <v>662</v>
      </c>
      <c r="B287" t="s">
        <v>282</v>
      </c>
      <c r="C287" t="s">
        <v>263</v>
      </c>
      <c r="D287" t="s">
        <v>23</v>
      </c>
      <c r="E287">
        <v>48</v>
      </c>
      <c r="F287" t="s">
        <v>181</v>
      </c>
      <c r="G287" t="s">
        <v>105</v>
      </c>
      <c r="H287" s="2">
        <v>106942</v>
      </c>
      <c r="I287" s="1">
        <v>38664</v>
      </c>
      <c r="J287" s="3">
        <v>20</v>
      </c>
      <c r="K287" t="s">
        <v>663</v>
      </c>
      <c r="L287" t="s">
        <v>85</v>
      </c>
      <c r="M287">
        <v>3</v>
      </c>
      <c r="N287" t="str" cm="1">
        <f t="array" ref="N287">_xlfn.IFS(AND(24&lt;=Table1[[#This Row],[Age]],Table1[[#This Row],[Age]]&lt;=30),"24-30",Table1[[#This Row],[Age]]&lt;=35,"31-35",Table1[[#This Row],[Age]]&lt;=40,"36-40",Table1[[#This Row],[Age]]&lt;=45,"41-45",Table1[[#This Row],[Age]]&lt;=50,"46-50",Table1[[#This Row],[Age]]&lt;=55,"51-55",Table1[[#This Row],[Age]]&lt;=60,"56-60",Table1[[#This Row],[Age]]&lt;=66,"61-66")</f>
        <v>46-50</v>
      </c>
      <c r="O287" t="s">
        <v>1074</v>
      </c>
      <c r="P287" t="str" cm="1">
        <f t="array" ref="P287">_xlfn.IFS(Table1[[#This Row],[Company Tenure]]&lt;=5,"1-5",Table1[[#This Row],[Company Tenure]]&lt;=10,"6-10",Table1[[#This Row],[Company Tenure]]&lt;=15,"11-15",Table1[[#This Row],[Company Tenure]]&lt;=20, "15-20",Table1[[#This Row],[Company Tenure]]&gt;20,"Above 20")</f>
        <v>15-20</v>
      </c>
    </row>
    <row r="288" spans="1:16" x14ac:dyDescent="0.25">
      <c r="A288" t="s">
        <v>664</v>
      </c>
      <c r="B288" t="s">
        <v>316</v>
      </c>
      <c r="C288" t="s">
        <v>16</v>
      </c>
      <c r="D288" t="s">
        <v>8</v>
      </c>
      <c r="E288">
        <v>49</v>
      </c>
      <c r="F288" t="s">
        <v>295</v>
      </c>
      <c r="G288" t="s">
        <v>2</v>
      </c>
      <c r="H288" s="2">
        <v>109895.84</v>
      </c>
      <c r="I288" s="1">
        <v>43509</v>
      </c>
      <c r="J288" s="3">
        <v>7</v>
      </c>
      <c r="K288" t="s">
        <v>665</v>
      </c>
      <c r="L288" t="s">
        <v>65</v>
      </c>
      <c r="M288">
        <v>3</v>
      </c>
      <c r="N288" t="str" cm="1">
        <f t="array" ref="N288">_xlfn.IFS(AND(24&lt;=Table1[[#This Row],[Age]],Table1[[#This Row],[Age]]&lt;=30),"24-30",Table1[[#This Row],[Age]]&lt;=35,"31-35",Table1[[#This Row],[Age]]&lt;=40,"36-40",Table1[[#This Row],[Age]]&lt;=45,"41-45",Table1[[#This Row],[Age]]&lt;=50,"46-50",Table1[[#This Row],[Age]]&lt;=55,"51-55",Table1[[#This Row],[Age]]&lt;=60,"56-60",Table1[[#This Row],[Age]]&lt;=66,"61-66")</f>
        <v>46-50</v>
      </c>
      <c r="O288" t="s">
        <v>1074</v>
      </c>
      <c r="P288" t="str" cm="1">
        <f t="array" ref="P288">_xlfn.IFS(Table1[[#This Row],[Company Tenure]]&lt;=5,"1-5",Table1[[#This Row],[Company Tenure]]&lt;=10,"6-10",Table1[[#This Row],[Company Tenure]]&lt;=15,"11-15",Table1[[#This Row],[Company Tenure]]&lt;=20, "15-20",Table1[[#This Row],[Company Tenure]]&gt;20,"Above 20")</f>
        <v>6-10</v>
      </c>
    </row>
    <row r="289" spans="1:16" x14ac:dyDescent="0.25">
      <c r="A289" t="s">
        <v>666</v>
      </c>
      <c r="B289" t="s">
        <v>378</v>
      </c>
      <c r="C289" t="s">
        <v>356</v>
      </c>
      <c r="D289" t="s">
        <v>1</v>
      </c>
      <c r="E289">
        <v>44</v>
      </c>
      <c r="F289" t="s">
        <v>133</v>
      </c>
      <c r="G289" t="s">
        <v>44</v>
      </c>
      <c r="H289" s="2">
        <v>51047</v>
      </c>
      <c r="I289" s="1">
        <v>44430</v>
      </c>
      <c r="J289" s="3">
        <v>5</v>
      </c>
      <c r="K289" t="s">
        <v>667</v>
      </c>
      <c r="L289" t="s">
        <v>107</v>
      </c>
      <c r="M289">
        <v>5</v>
      </c>
      <c r="N289" t="str" cm="1">
        <f t="array" ref="N289">_xlfn.IFS(AND(24&lt;=Table1[[#This Row],[Age]],Table1[[#This Row],[Age]]&lt;=30),"24-30",Table1[[#This Row],[Age]]&lt;=35,"31-35",Table1[[#This Row],[Age]]&lt;=40,"36-40",Table1[[#This Row],[Age]]&lt;=45,"41-45",Table1[[#This Row],[Age]]&lt;=50,"46-50",Table1[[#This Row],[Age]]&lt;=55,"51-55",Table1[[#This Row],[Age]]&lt;=60,"56-60",Table1[[#This Row],[Age]]&lt;=66,"61-66")</f>
        <v>41-45</v>
      </c>
      <c r="O289" t="s">
        <v>1077</v>
      </c>
      <c r="P289" t="str" cm="1">
        <f t="array" ref="P289">_xlfn.IFS(Table1[[#This Row],[Company Tenure]]&lt;=5,"1-5",Table1[[#This Row],[Company Tenure]]&lt;=10,"6-10",Table1[[#This Row],[Company Tenure]]&lt;=15,"11-15",Table1[[#This Row],[Company Tenure]]&lt;=20, "15-20",Table1[[#This Row],[Company Tenure]]&gt;20,"Above 20")</f>
        <v>1-5</v>
      </c>
    </row>
    <row r="290" spans="1:16" x14ac:dyDescent="0.25">
      <c r="A290" t="s">
        <v>668</v>
      </c>
      <c r="B290" t="s">
        <v>47</v>
      </c>
      <c r="C290" t="s">
        <v>291</v>
      </c>
      <c r="D290" t="s">
        <v>23</v>
      </c>
      <c r="E290">
        <v>47</v>
      </c>
      <c r="F290" t="s">
        <v>142</v>
      </c>
      <c r="G290" t="s">
        <v>2</v>
      </c>
      <c r="H290" s="2">
        <v>81502</v>
      </c>
      <c r="I290" s="1">
        <v>43598</v>
      </c>
      <c r="J290" s="3">
        <v>7</v>
      </c>
      <c r="K290" t="s">
        <v>669</v>
      </c>
      <c r="L290" t="s">
        <v>107</v>
      </c>
      <c r="M290">
        <v>3</v>
      </c>
      <c r="N290" t="str" cm="1">
        <f t="array" ref="N290">_xlfn.IFS(AND(24&lt;=Table1[[#This Row],[Age]],Table1[[#This Row],[Age]]&lt;=30),"24-30",Table1[[#This Row],[Age]]&lt;=35,"31-35",Table1[[#This Row],[Age]]&lt;=40,"36-40",Table1[[#This Row],[Age]]&lt;=45,"41-45",Table1[[#This Row],[Age]]&lt;=50,"46-50",Table1[[#This Row],[Age]]&lt;=55,"51-55",Table1[[#This Row],[Age]]&lt;=60,"56-60",Table1[[#This Row],[Age]]&lt;=66,"61-66")</f>
        <v>46-50</v>
      </c>
      <c r="O290" t="s">
        <v>1077</v>
      </c>
      <c r="P290" t="str" cm="1">
        <f t="array" ref="P290">_xlfn.IFS(Table1[[#This Row],[Company Tenure]]&lt;=5,"1-5",Table1[[#This Row],[Company Tenure]]&lt;=10,"6-10",Table1[[#This Row],[Company Tenure]]&lt;=15,"11-15",Table1[[#This Row],[Company Tenure]]&lt;=20, "15-20",Table1[[#This Row],[Company Tenure]]&gt;20,"Above 20")</f>
        <v>6-10</v>
      </c>
    </row>
    <row r="291" spans="1:16" x14ac:dyDescent="0.25">
      <c r="A291" t="s">
        <v>670</v>
      </c>
      <c r="B291" t="s">
        <v>232</v>
      </c>
      <c r="C291" t="s">
        <v>402</v>
      </c>
      <c r="D291" t="s">
        <v>1</v>
      </c>
      <c r="E291">
        <v>41</v>
      </c>
      <c r="F291" t="s">
        <v>9</v>
      </c>
      <c r="G291" t="s">
        <v>2</v>
      </c>
      <c r="H291" s="2">
        <v>129554</v>
      </c>
      <c r="I291" s="1">
        <v>41061</v>
      </c>
      <c r="J291" s="3">
        <v>14</v>
      </c>
      <c r="K291" t="s">
        <v>671</v>
      </c>
      <c r="L291" t="s">
        <v>120</v>
      </c>
      <c r="M291">
        <v>4</v>
      </c>
      <c r="N291" t="str" cm="1">
        <f t="array" ref="N291">_xlfn.IFS(AND(24&lt;=Table1[[#This Row],[Age]],Table1[[#This Row],[Age]]&lt;=30),"24-30",Table1[[#This Row],[Age]]&lt;=35,"31-35",Table1[[#This Row],[Age]]&lt;=40,"36-40",Table1[[#This Row],[Age]]&lt;=45,"41-45",Table1[[#This Row],[Age]]&lt;=50,"46-50",Table1[[#This Row],[Age]]&lt;=55,"51-55",Table1[[#This Row],[Age]]&lt;=60,"56-60",Table1[[#This Row],[Age]]&lt;=66,"61-66")</f>
        <v>41-45</v>
      </c>
      <c r="O291" t="s">
        <v>1074</v>
      </c>
      <c r="P291" t="str" cm="1">
        <f t="array" ref="P291">_xlfn.IFS(Table1[[#This Row],[Company Tenure]]&lt;=5,"1-5",Table1[[#This Row],[Company Tenure]]&lt;=10,"6-10",Table1[[#This Row],[Company Tenure]]&lt;=15,"11-15",Table1[[#This Row],[Company Tenure]]&lt;=20, "15-20",Table1[[#This Row],[Company Tenure]]&gt;20,"Above 20")</f>
        <v>11-15</v>
      </c>
    </row>
    <row r="292" spans="1:16" x14ac:dyDescent="0.25">
      <c r="A292" t="s">
        <v>672</v>
      </c>
      <c r="B292" t="s">
        <v>62</v>
      </c>
      <c r="C292" t="s">
        <v>485</v>
      </c>
      <c r="D292" t="s">
        <v>8</v>
      </c>
      <c r="E292">
        <v>54</v>
      </c>
      <c r="F292" t="s">
        <v>36</v>
      </c>
      <c r="G292" t="s">
        <v>37</v>
      </c>
      <c r="H292" s="2">
        <v>94940</v>
      </c>
      <c r="I292" s="1">
        <v>39752</v>
      </c>
      <c r="J292" s="3">
        <v>17</v>
      </c>
      <c r="K292" t="s">
        <v>585</v>
      </c>
      <c r="L292" t="s">
        <v>54</v>
      </c>
      <c r="M292">
        <v>3</v>
      </c>
      <c r="N292" t="str" cm="1">
        <f t="array" ref="N292">_xlfn.IFS(AND(24&lt;=Table1[[#This Row],[Age]],Table1[[#This Row],[Age]]&lt;=30),"24-30",Table1[[#This Row],[Age]]&lt;=35,"31-35",Table1[[#This Row],[Age]]&lt;=40,"36-40",Table1[[#This Row],[Age]]&lt;=45,"41-45",Table1[[#This Row],[Age]]&lt;=50,"46-50",Table1[[#This Row],[Age]]&lt;=55,"51-55",Table1[[#This Row],[Age]]&lt;=60,"56-60",Table1[[#This Row],[Age]]&lt;=66,"61-66")</f>
        <v>51-55</v>
      </c>
      <c r="O292" t="s">
        <v>1077</v>
      </c>
      <c r="P292" t="str" cm="1">
        <f t="array" ref="P292">_xlfn.IFS(Table1[[#This Row],[Company Tenure]]&lt;=5,"1-5",Table1[[#This Row],[Company Tenure]]&lt;=10,"6-10",Table1[[#This Row],[Company Tenure]]&lt;=15,"11-15",Table1[[#This Row],[Company Tenure]]&lt;=20, "15-20",Table1[[#This Row],[Company Tenure]]&gt;20,"Above 20")</f>
        <v>15-20</v>
      </c>
    </row>
    <row r="293" spans="1:16" x14ac:dyDescent="0.25">
      <c r="A293" t="s">
        <v>673</v>
      </c>
      <c r="B293" t="s">
        <v>67</v>
      </c>
      <c r="C293" t="s">
        <v>962</v>
      </c>
      <c r="D293" t="s">
        <v>8</v>
      </c>
      <c r="E293">
        <v>44</v>
      </c>
      <c r="F293" t="s">
        <v>142</v>
      </c>
      <c r="G293" t="s">
        <v>44</v>
      </c>
      <c r="H293" s="2">
        <v>45311.98</v>
      </c>
      <c r="I293" s="1">
        <v>40566</v>
      </c>
      <c r="J293" s="3">
        <v>15</v>
      </c>
      <c r="K293" t="s">
        <v>674</v>
      </c>
      <c r="L293" t="s">
        <v>19</v>
      </c>
      <c r="M293">
        <v>5</v>
      </c>
      <c r="N293" t="str" cm="1">
        <f t="array" ref="N293">_xlfn.IFS(AND(24&lt;=Table1[[#This Row],[Age]],Table1[[#This Row],[Age]]&lt;=30),"24-30",Table1[[#This Row],[Age]]&lt;=35,"31-35",Table1[[#This Row],[Age]]&lt;=40,"36-40",Table1[[#This Row],[Age]]&lt;=45,"41-45",Table1[[#This Row],[Age]]&lt;=50,"46-50",Table1[[#This Row],[Age]]&lt;=55,"51-55",Table1[[#This Row],[Age]]&lt;=60,"56-60",Table1[[#This Row],[Age]]&lt;=66,"61-66")</f>
        <v>41-45</v>
      </c>
      <c r="O293" t="s">
        <v>1076</v>
      </c>
      <c r="P293" t="str" cm="1">
        <f t="array" ref="P293">_xlfn.IFS(Table1[[#This Row],[Company Tenure]]&lt;=5,"1-5",Table1[[#This Row],[Company Tenure]]&lt;=10,"6-10",Table1[[#This Row],[Company Tenure]]&lt;=15,"11-15",Table1[[#This Row],[Company Tenure]]&lt;=20, "15-20",Table1[[#This Row],[Company Tenure]]&gt;20,"Above 20")</f>
        <v>11-15</v>
      </c>
    </row>
    <row r="294" spans="1:16" x14ac:dyDescent="0.25">
      <c r="A294" t="s">
        <v>675</v>
      </c>
      <c r="B294" t="s">
        <v>132</v>
      </c>
      <c r="C294" t="s">
        <v>80</v>
      </c>
      <c r="D294" t="s">
        <v>1</v>
      </c>
      <c r="E294">
        <v>38</v>
      </c>
      <c r="F294" t="s">
        <v>203</v>
      </c>
      <c r="G294" t="s">
        <v>37</v>
      </c>
      <c r="H294" s="2">
        <v>64240</v>
      </c>
      <c r="I294" s="1">
        <v>42846</v>
      </c>
      <c r="J294" s="3">
        <v>9</v>
      </c>
      <c r="K294" t="s">
        <v>676</v>
      </c>
      <c r="L294" t="s">
        <v>39</v>
      </c>
      <c r="M294">
        <v>4</v>
      </c>
      <c r="N294" t="str" cm="1">
        <f t="array" ref="N294">_xlfn.IFS(AND(24&lt;=Table1[[#This Row],[Age]],Table1[[#This Row],[Age]]&lt;=30),"24-30",Table1[[#This Row],[Age]]&lt;=35,"31-35",Table1[[#This Row],[Age]]&lt;=40,"36-40",Table1[[#This Row],[Age]]&lt;=45,"41-45",Table1[[#This Row],[Age]]&lt;=50,"46-50",Table1[[#This Row],[Age]]&lt;=55,"51-55",Table1[[#This Row],[Age]]&lt;=60,"56-60",Table1[[#This Row],[Age]]&lt;=66,"61-66")</f>
        <v>36-40</v>
      </c>
      <c r="O294" t="s">
        <v>1077</v>
      </c>
      <c r="P294" t="str" cm="1">
        <f t="array" ref="P294">_xlfn.IFS(Table1[[#This Row],[Company Tenure]]&lt;=5,"1-5",Table1[[#This Row],[Company Tenure]]&lt;=10,"6-10",Table1[[#This Row],[Company Tenure]]&lt;=15,"11-15",Table1[[#This Row],[Company Tenure]]&lt;=20, "15-20",Table1[[#This Row],[Company Tenure]]&gt;20,"Above 20")</f>
        <v>6-10</v>
      </c>
    </row>
    <row r="295" spans="1:16" x14ac:dyDescent="0.25">
      <c r="A295" t="s">
        <v>677</v>
      </c>
      <c r="B295" t="s">
        <v>221</v>
      </c>
      <c r="C295" t="s">
        <v>22</v>
      </c>
      <c r="D295" t="s">
        <v>1</v>
      </c>
      <c r="E295">
        <v>46</v>
      </c>
      <c r="F295" t="s">
        <v>181</v>
      </c>
      <c r="G295" t="s">
        <v>100</v>
      </c>
      <c r="H295" s="2">
        <v>48311</v>
      </c>
      <c r="I295" s="1">
        <v>45513</v>
      </c>
      <c r="J295" s="3">
        <v>2</v>
      </c>
      <c r="K295" t="s">
        <v>678</v>
      </c>
      <c r="L295" t="s">
        <v>39</v>
      </c>
      <c r="M295">
        <v>5</v>
      </c>
      <c r="N295" t="str" cm="1">
        <f t="array" ref="N295">_xlfn.IFS(AND(24&lt;=Table1[[#This Row],[Age]],Table1[[#This Row],[Age]]&lt;=30),"24-30",Table1[[#This Row],[Age]]&lt;=35,"31-35",Table1[[#This Row],[Age]]&lt;=40,"36-40",Table1[[#This Row],[Age]]&lt;=45,"41-45",Table1[[#This Row],[Age]]&lt;=50,"46-50",Table1[[#This Row],[Age]]&lt;=55,"51-55",Table1[[#This Row],[Age]]&lt;=60,"56-60",Table1[[#This Row],[Age]]&lt;=66,"61-66")</f>
        <v>46-50</v>
      </c>
      <c r="O295" t="s">
        <v>1076</v>
      </c>
      <c r="P295" t="str" cm="1">
        <f t="array" ref="P295">_xlfn.IFS(Table1[[#This Row],[Company Tenure]]&lt;=5,"1-5",Table1[[#This Row],[Company Tenure]]&lt;=10,"6-10",Table1[[#This Row],[Company Tenure]]&lt;=15,"11-15",Table1[[#This Row],[Company Tenure]]&lt;=20, "15-20",Table1[[#This Row],[Company Tenure]]&gt;20,"Above 20")</f>
        <v>1-5</v>
      </c>
    </row>
    <row r="296" spans="1:16" x14ac:dyDescent="0.25">
      <c r="A296" t="s">
        <v>679</v>
      </c>
      <c r="B296" t="s">
        <v>282</v>
      </c>
      <c r="C296" t="s">
        <v>22</v>
      </c>
      <c r="D296" t="s">
        <v>23</v>
      </c>
      <c r="E296">
        <v>44</v>
      </c>
      <c r="F296" t="s">
        <v>9</v>
      </c>
      <c r="G296" t="s">
        <v>63</v>
      </c>
      <c r="H296" s="2">
        <v>88797.22</v>
      </c>
      <c r="I296" s="1">
        <v>38391</v>
      </c>
      <c r="J296" s="3">
        <v>21</v>
      </c>
      <c r="K296" t="s">
        <v>206</v>
      </c>
      <c r="L296" t="s">
        <v>207</v>
      </c>
      <c r="M296">
        <v>5</v>
      </c>
      <c r="N296" t="str" cm="1">
        <f t="array" ref="N296">_xlfn.IFS(AND(24&lt;=Table1[[#This Row],[Age]],Table1[[#This Row],[Age]]&lt;=30),"24-30",Table1[[#This Row],[Age]]&lt;=35,"31-35",Table1[[#This Row],[Age]]&lt;=40,"36-40",Table1[[#This Row],[Age]]&lt;=45,"41-45",Table1[[#This Row],[Age]]&lt;=50,"46-50",Table1[[#This Row],[Age]]&lt;=55,"51-55",Table1[[#This Row],[Age]]&lt;=60,"56-60",Table1[[#This Row],[Age]]&lt;=66,"61-66")</f>
        <v>41-45</v>
      </c>
      <c r="O296" t="s">
        <v>1077</v>
      </c>
      <c r="P296" t="str" cm="1">
        <f t="array" ref="P296">_xlfn.IFS(Table1[[#This Row],[Company Tenure]]&lt;=5,"1-5",Table1[[#This Row],[Company Tenure]]&lt;=10,"6-10",Table1[[#This Row],[Company Tenure]]&lt;=15,"11-15",Table1[[#This Row],[Company Tenure]]&lt;=20, "15-20",Table1[[#This Row],[Company Tenure]]&gt;20,"Above 20")</f>
        <v>Above 20</v>
      </c>
    </row>
    <row r="297" spans="1:16" x14ac:dyDescent="0.25">
      <c r="A297" t="s">
        <v>680</v>
      </c>
      <c r="B297" t="s">
        <v>79</v>
      </c>
      <c r="C297" t="s">
        <v>180</v>
      </c>
      <c r="D297" t="s">
        <v>23</v>
      </c>
      <c r="E297">
        <v>24</v>
      </c>
      <c r="F297" t="s">
        <v>142</v>
      </c>
      <c r="G297" t="s">
        <v>2</v>
      </c>
      <c r="H297" s="2">
        <v>80667</v>
      </c>
      <c r="I297" s="1" t="s">
        <v>1059</v>
      </c>
      <c r="J297" s="3" t="s">
        <v>1059</v>
      </c>
      <c r="K297" t="s">
        <v>358</v>
      </c>
      <c r="L297" t="s">
        <v>4</v>
      </c>
      <c r="M297">
        <v>3</v>
      </c>
      <c r="N297" t="str" cm="1">
        <f t="array" ref="N297">_xlfn.IFS(AND(24&lt;=Table1[[#This Row],[Age]],Table1[[#This Row],[Age]]&lt;=30),"24-30",Table1[[#This Row],[Age]]&lt;=35,"31-35",Table1[[#This Row],[Age]]&lt;=40,"36-40",Table1[[#This Row],[Age]]&lt;=45,"41-45",Table1[[#This Row],[Age]]&lt;=50,"46-50",Table1[[#This Row],[Age]]&lt;=55,"51-55",Table1[[#This Row],[Age]]&lt;=60,"56-60",Table1[[#This Row],[Age]]&lt;=66,"61-66")</f>
        <v>24-30</v>
      </c>
      <c r="O297" t="s">
        <v>1077</v>
      </c>
      <c r="P297" t="str" cm="1">
        <f t="array" ref="P297">_xlfn.IFS(Table1[[#This Row],[Company Tenure]]&lt;=5,"1-5",Table1[[#This Row],[Company Tenure]]&lt;=10,"6-10",Table1[[#This Row],[Company Tenure]]&lt;=15,"11-15",Table1[[#This Row],[Company Tenure]]&lt;=20, "15-20",Table1[[#This Row],[Company Tenure]]&gt;20,"Above 20")</f>
        <v>Above 20</v>
      </c>
    </row>
    <row r="298" spans="1:16" x14ac:dyDescent="0.25">
      <c r="A298" t="s">
        <v>681</v>
      </c>
      <c r="B298" t="s">
        <v>21</v>
      </c>
      <c r="C298" t="s">
        <v>485</v>
      </c>
      <c r="D298" t="s">
        <v>8</v>
      </c>
      <c r="E298">
        <v>38</v>
      </c>
      <c r="F298" t="s">
        <v>295</v>
      </c>
      <c r="G298" t="s">
        <v>17</v>
      </c>
      <c r="H298" s="2">
        <v>65324</v>
      </c>
      <c r="I298" s="1">
        <v>45557</v>
      </c>
      <c r="J298" s="3">
        <v>2</v>
      </c>
      <c r="K298" t="s">
        <v>682</v>
      </c>
      <c r="L298" t="s">
        <v>120</v>
      </c>
      <c r="M298">
        <v>4</v>
      </c>
      <c r="N298" t="str" cm="1">
        <f t="array" ref="N298">_xlfn.IFS(AND(24&lt;=Table1[[#This Row],[Age]],Table1[[#This Row],[Age]]&lt;=30),"24-30",Table1[[#This Row],[Age]]&lt;=35,"31-35",Table1[[#This Row],[Age]]&lt;=40,"36-40",Table1[[#This Row],[Age]]&lt;=45,"41-45",Table1[[#This Row],[Age]]&lt;=50,"46-50",Table1[[#This Row],[Age]]&lt;=55,"51-55",Table1[[#This Row],[Age]]&lt;=60,"56-60",Table1[[#This Row],[Age]]&lt;=66,"61-66")</f>
        <v>36-40</v>
      </c>
      <c r="O298" t="s">
        <v>1077</v>
      </c>
      <c r="P298" t="str" cm="1">
        <f t="array" ref="P298">_xlfn.IFS(Table1[[#This Row],[Company Tenure]]&lt;=5,"1-5",Table1[[#This Row],[Company Tenure]]&lt;=10,"6-10",Table1[[#This Row],[Company Tenure]]&lt;=15,"11-15",Table1[[#This Row],[Company Tenure]]&lt;=20, "15-20",Table1[[#This Row],[Company Tenure]]&gt;20,"Above 20")</f>
        <v>1-5</v>
      </c>
    </row>
    <row r="299" spans="1:16" x14ac:dyDescent="0.25">
      <c r="A299" t="s">
        <v>683</v>
      </c>
      <c r="B299" t="s">
        <v>633</v>
      </c>
      <c r="C299" t="s">
        <v>394</v>
      </c>
      <c r="D299" t="s">
        <v>1</v>
      </c>
      <c r="E299">
        <v>33</v>
      </c>
      <c r="F299" t="s">
        <v>36</v>
      </c>
      <c r="G299" t="s">
        <v>17</v>
      </c>
      <c r="H299" s="2">
        <v>84707.520000000004</v>
      </c>
      <c r="I299" s="1">
        <v>43150</v>
      </c>
      <c r="J299" s="3">
        <v>8</v>
      </c>
      <c r="K299" t="s">
        <v>684</v>
      </c>
      <c r="L299" t="s">
        <v>4</v>
      </c>
      <c r="M299">
        <v>5</v>
      </c>
      <c r="N299" t="str" cm="1">
        <f t="array" ref="N299">_xlfn.IFS(AND(24&lt;=Table1[[#This Row],[Age]],Table1[[#This Row],[Age]]&lt;=30),"24-30",Table1[[#This Row],[Age]]&lt;=35,"31-35",Table1[[#This Row],[Age]]&lt;=40,"36-40",Table1[[#This Row],[Age]]&lt;=45,"41-45",Table1[[#This Row],[Age]]&lt;=50,"46-50",Table1[[#This Row],[Age]]&lt;=55,"51-55",Table1[[#This Row],[Age]]&lt;=60,"56-60",Table1[[#This Row],[Age]]&lt;=66,"61-66")</f>
        <v>31-35</v>
      </c>
      <c r="O299" t="s">
        <v>1077</v>
      </c>
      <c r="P299" t="str" cm="1">
        <f t="array" ref="P299">_xlfn.IFS(Table1[[#This Row],[Company Tenure]]&lt;=5,"1-5",Table1[[#This Row],[Company Tenure]]&lt;=10,"6-10",Table1[[#This Row],[Company Tenure]]&lt;=15,"11-15",Table1[[#This Row],[Company Tenure]]&lt;=20, "15-20",Table1[[#This Row],[Company Tenure]]&gt;20,"Above 20")</f>
        <v>6-10</v>
      </c>
    </row>
    <row r="300" spans="1:16" x14ac:dyDescent="0.25">
      <c r="A300" t="s">
        <v>685</v>
      </c>
      <c r="B300" t="s">
        <v>103</v>
      </c>
      <c r="C300" t="s">
        <v>141</v>
      </c>
      <c r="D300" t="s">
        <v>1</v>
      </c>
      <c r="E300">
        <v>33</v>
      </c>
      <c r="F300" t="s">
        <v>1066</v>
      </c>
      <c r="G300" t="s">
        <v>37</v>
      </c>
      <c r="H300" s="2">
        <v>58991</v>
      </c>
      <c r="I300" s="1" t="s">
        <v>1059</v>
      </c>
      <c r="J300" s="3" t="s">
        <v>1059</v>
      </c>
      <c r="K300" t="s">
        <v>686</v>
      </c>
      <c r="L300" t="s">
        <v>28</v>
      </c>
      <c r="M300">
        <v>4</v>
      </c>
      <c r="N300" t="str" cm="1">
        <f t="array" ref="N300">_xlfn.IFS(AND(24&lt;=Table1[[#This Row],[Age]],Table1[[#This Row],[Age]]&lt;=30),"24-30",Table1[[#This Row],[Age]]&lt;=35,"31-35",Table1[[#This Row],[Age]]&lt;=40,"36-40",Table1[[#This Row],[Age]]&lt;=45,"41-45",Table1[[#This Row],[Age]]&lt;=50,"46-50",Table1[[#This Row],[Age]]&lt;=55,"51-55",Table1[[#This Row],[Age]]&lt;=60,"56-60",Table1[[#This Row],[Age]]&lt;=66,"61-66")</f>
        <v>31-35</v>
      </c>
      <c r="O300" t="s">
        <v>1077</v>
      </c>
      <c r="P300" t="str" cm="1">
        <f t="array" ref="P300">_xlfn.IFS(Table1[[#This Row],[Company Tenure]]&lt;=5,"1-5",Table1[[#This Row],[Company Tenure]]&lt;=10,"6-10",Table1[[#This Row],[Company Tenure]]&lt;=15,"11-15",Table1[[#This Row],[Company Tenure]]&lt;=20, "15-20",Table1[[#This Row],[Company Tenure]]&gt;20,"Above 20")</f>
        <v>Above 20</v>
      </c>
    </row>
    <row r="301" spans="1:16" x14ac:dyDescent="0.25">
      <c r="A301" t="s">
        <v>687</v>
      </c>
      <c r="B301" t="s">
        <v>633</v>
      </c>
      <c r="C301" t="s">
        <v>138</v>
      </c>
      <c r="D301" t="s">
        <v>23</v>
      </c>
      <c r="E301">
        <v>63</v>
      </c>
      <c r="F301" t="s">
        <v>133</v>
      </c>
      <c r="G301" t="s">
        <v>44</v>
      </c>
      <c r="H301" s="2">
        <v>58339</v>
      </c>
      <c r="I301" s="1">
        <v>38429</v>
      </c>
      <c r="J301" s="3">
        <v>21</v>
      </c>
      <c r="K301" t="s">
        <v>688</v>
      </c>
      <c r="L301" t="s">
        <v>19</v>
      </c>
      <c r="M301">
        <v>4</v>
      </c>
      <c r="N301" t="str" cm="1">
        <f t="array" ref="N301">_xlfn.IFS(AND(24&lt;=Table1[[#This Row],[Age]],Table1[[#This Row],[Age]]&lt;=30),"24-30",Table1[[#This Row],[Age]]&lt;=35,"31-35",Table1[[#This Row],[Age]]&lt;=40,"36-40",Table1[[#This Row],[Age]]&lt;=45,"41-45",Table1[[#This Row],[Age]]&lt;=50,"46-50",Table1[[#This Row],[Age]]&lt;=55,"51-55",Table1[[#This Row],[Age]]&lt;=60,"56-60",Table1[[#This Row],[Age]]&lt;=66,"61-66")</f>
        <v>61-66</v>
      </c>
      <c r="O301" t="s">
        <v>1077</v>
      </c>
      <c r="P301" t="str" cm="1">
        <f t="array" ref="P301">_xlfn.IFS(Table1[[#This Row],[Company Tenure]]&lt;=5,"1-5",Table1[[#This Row],[Company Tenure]]&lt;=10,"6-10",Table1[[#This Row],[Company Tenure]]&lt;=15,"11-15",Table1[[#This Row],[Company Tenure]]&lt;=20, "15-20",Table1[[#This Row],[Company Tenure]]&gt;20,"Above 20")</f>
        <v>Above 20</v>
      </c>
    </row>
    <row r="302" spans="1:16" x14ac:dyDescent="0.25">
      <c r="A302" t="s">
        <v>689</v>
      </c>
      <c r="B302" t="s">
        <v>290</v>
      </c>
      <c r="C302" t="s">
        <v>91</v>
      </c>
      <c r="D302" t="s">
        <v>23</v>
      </c>
      <c r="E302">
        <v>25</v>
      </c>
      <c r="F302" t="s">
        <v>313</v>
      </c>
      <c r="G302" t="s">
        <v>2</v>
      </c>
      <c r="H302" s="2">
        <v>133742</v>
      </c>
      <c r="I302" s="1">
        <v>45358</v>
      </c>
      <c r="J302" s="3">
        <v>2</v>
      </c>
      <c r="K302" t="s">
        <v>690</v>
      </c>
      <c r="L302" t="s">
        <v>19</v>
      </c>
      <c r="M302">
        <v>5</v>
      </c>
      <c r="N302" t="str" cm="1">
        <f t="array" ref="N302">_xlfn.IFS(AND(24&lt;=Table1[[#This Row],[Age]],Table1[[#This Row],[Age]]&lt;=30),"24-30",Table1[[#This Row],[Age]]&lt;=35,"31-35",Table1[[#This Row],[Age]]&lt;=40,"36-40",Table1[[#This Row],[Age]]&lt;=45,"41-45",Table1[[#This Row],[Age]]&lt;=50,"46-50",Table1[[#This Row],[Age]]&lt;=55,"51-55",Table1[[#This Row],[Age]]&lt;=60,"56-60",Table1[[#This Row],[Age]]&lt;=66,"61-66")</f>
        <v>24-30</v>
      </c>
      <c r="O302" t="s">
        <v>1074</v>
      </c>
      <c r="P302" t="str" cm="1">
        <f t="array" ref="P302">_xlfn.IFS(Table1[[#This Row],[Company Tenure]]&lt;=5,"1-5",Table1[[#This Row],[Company Tenure]]&lt;=10,"6-10",Table1[[#This Row],[Company Tenure]]&lt;=15,"11-15",Table1[[#This Row],[Company Tenure]]&lt;=20, "15-20",Table1[[#This Row],[Company Tenure]]&gt;20,"Above 20")</f>
        <v>1-5</v>
      </c>
    </row>
    <row r="303" spans="1:16" x14ac:dyDescent="0.25">
      <c r="A303" t="s">
        <v>691</v>
      </c>
      <c r="B303" t="s">
        <v>43</v>
      </c>
      <c r="C303" t="s">
        <v>308</v>
      </c>
      <c r="D303" t="s">
        <v>8</v>
      </c>
      <c r="E303">
        <v>56</v>
      </c>
      <c r="F303" t="s">
        <v>154</v>
      </c>
      <c r="G303" t="s">
        <v>63</v>
      </c>
      <c r="H303" s="2">
        <v>50497</v>
      </c>
      <c r="I303" s="1">
        <v>39092</v>
      </c>
      <c r="J303" s="3">
        <v>19</v>
      </c>
      <c r="K303" t="s">
        <v>293</v>
      </c>
      <c r="L303" t="s">
        <v>28</v>
      </c>
      <c r="M303">
        <v>3</v>
      </c>
      <c r="N303" t="str" cm="1">
        <f t="array" ref="N303">_xlfn.IFS(AND(24&lt;=Table1[[#This Row],[Age]],Table1[[#This Row],[Age]]&lt;=30),"24-30",Table1[[#This Row],[Age]]&lt;=35,"31-35",Table1[[#This Row],[Age]]&lt;=40,"36-40",Table1[[#This Row],[Age]]&lt;=45,"41-45",Table1[[#This Row],[Age]]&lt;=50,"46-50",Table1[[#This Row],[Age]]&lt;=55,"51-55",Table1[[#This Row],[Age]]&lt;=60,"56-60",Table1[[#This Row],[Age]]&lt;=66,"61-66")</f>
        <v>56-60</v>
      </c>
      <c r="O303" t="s">
        <v>1077</v>
      </c>
      <c r="P303" t="str" cm="1">
        <f t="array" ref="P303">_xlfn.IFS(Table1[[#This Row],[Company Tenure]]&lt;=5,"1-5",Table1[[#This Row],[Company Tenure]]&lt;=10,"6-10",Table1[[#This Row],[Company Tenure]]&lt;=15,"11-15",Table1[[#This Row],[Company Tenure]]&lt;=20, "15-20",Table1[[#This Row],[Company Tenure]]&gt;20,"Above 20")</f>
        <v>15-20</v>
      </c>
    </row>
    <row r="304" spans="1:16" x14ac:dyDescent="0.25">
      <c r="A304" t="s">
        <v>692</v>
      </c>
      <c r="B304" t="s">
        <v>334</v>
      </c>
      <c r="C304" t="s">
        <v>166</v>
      </c>
      <c r="D304" t="s">
        <v>23</v>
      </c>
      <c r="E304">
        <v>47</v>
      </c>
      <c r="F304" t="s">
        <v>36</v>
      </c>
      <c r="G304" t="s">
        <v>105</v>
      </c>
      <c r="H304" s="2">
        <v>143791</v>
      </c>
      <c r="I304" s="1">
        <v>40439</v>
      </c>
      <c r="J304" s="3">
        <v>16</v>
      </c>
      <c r="K304" t="s">
        <v>693</v>
      </c>
      <c r="L304" t="s">
        <v>14</v>
      </c>
      <c r="M304">
        <v>3</v>
      </c>
      <c r="N304" t="str" cm="1">
        <f t="array" ref="N304">_xlfn.IFS(AND(24&lt;=Table1[[#This Row],[Age]],Table1[[#This Row],[Age]]&lt;=30),"24-30",Table1[[#This Row],[Age]]&lt;=35,"31-35",Table1[[#This Row],[Age]]&lt;=40,"36-40",Table1[[#This Row],[Age]]&lt;=45,"41-45",Table1[[#This Row],[Age]]&lt;=50,"46-50",Table1[[#This Row],[Age]]&lt;=55,"51-55",Table1[[#This Row],[Age]]&lt;=60,"56-60",Table1[[#This Row],[Age]]&lt;=66,"61-66")</f>
        <v>46-50</v>
      </c>
      <c r="O304" t="s">
        <v>1074</v>
      </c>
      <c r="P304" t="str" cm="1">
        <f t="array" ref="P304">_xlfn.IFS(Table1[[#This Row],[Company Tenure]]&lt;=5,"1-5",Table1[[#This Row],[Company Tenure]]&lt;=10,"6-10",Table1[[#This Row],[Company Tenure]]&lt;=15,"11-15",Table1[[#This Row],[Company Tenure]]&lt;=20, "15-20",Table1[[#This Row],[Company Tenure]]&gt;20,"Above 20")</f>
        <v>15-20</v>
      </c>
    </row>
    <row r="305" spans="1:16" x14ac:dyDescent="0.25">
      <c r="A305" t="s">
        <v>694</v>
      </c>
      <c r="B305" t="s">
        <v>476</v>
      </c>
      <c r="C305" t="s">
        <v>222</v>
      </c>
      <c r="D305" t="s">
        <v>8</v>
      </c>
      <c r="E305">
        <v>52</v>
      </c>
      <c r="F305" t="s">
        <v>181</v>
      </c>
      <c r="G305" t="s">
        <v>216</v>
      </c>
      <c r="H305" s="2">
        <v>137899.69</v>
      </c>
      <c r="I305" s="1">
        <v>38364</v>
      </c>
      <c r="J305" s="3">
        <v>21</v>
      </c>
      <c r="K305" t="s">
        <v>695</v>
      </c>
      <c r="L305" t="s">
        <v>54</v>
      </c>
      <c r="M305">
        <v>3</v>
      </c>
      <c r="N305" t="str" cm="1">
        <f t="array" ref="N305">_xlfn.IFS(AND(24&lt;=Table1[[#This Row],[Age]],Table1[[#This Row],[Age]]&lt;=30),"24-30",Table1[[#This Row],[Age]]&lt;=35,"31-35",Table1[[#This Row],[Age]]&lt;=40,"36-40",Table1[[#This Row],[Age]]&lt;=45,"41-45",Table1[[#This Row],[Age]]&lt;=50,"46-50",Table1[[#This Row],[Age]]&lt;=55,"51-55",Table1[[#This Row],[Age]]&lt;=60,"56-60",Table1[[#This Row],[Age]]&lt;=66,"61-66")</f>
        <v>51-55</v>
      </c>
      <c r="O305" t="s">
        <v>1074</v>
      </c>
      <c r="P305" t="str" cm="1">
        <f t="array" ref="P305">_xlfn.IFS(Table1[[#This Row],[Company Tenure]]&lt;=5,"1-5",Table1[[#This Row],[Company Tenure]]&lt;=10,"6-10",Table1[[#This Row],[Company Tenure]]&lt;=15,"11-15",Table1[[#This Row],[Company Tenure]]&lt;=20, "15-20",Table1[[#This Row],[Company Tenure]]&gt;20,"Above 20")</f>
        <v>Above 20</v>
      </c>
    </row>
    <row r="306" spans="1:16" x14ac:dyDescent="0.25">
      <c r="A306" t="s">
        <v>696</v>
      </c>
      <c r="B306" t="s">
        <v>184</v>
      </c>
      <c r="C306" t="s">
        <v>68</v>
      </c>
      <c r="D306" t="s">
        <v>1</v>
      </c>
      <c r="E306">
        <v>27</v>
      </c>
      <c r="F306" t="s">
        <v>36</v>
      </c>
      <c r="G306" t="s">
        <v>17</v>
      </c>
      <c r="H306" s="2">
        <v>98014.7</v>
      </c>
      <c r="I306" s="1">
        <v>45149</v>
      </c>
      <c r="J306" s="3">
        <v>3</v>
      </c>
      <c r="K306" t="s">
        <v>697</v>
      </c>
      <c r="L306" t="s">
        <v>49</v>
      </c>
      <c r="M306">
        <v>4</v>
      </c>
      <c r="N306" t="str" cm="1">
        <f t="array" ref="N306">_xlfn.IFS(AND(24&lt;=Table1[[#This Row],[Age]],Table1[[#This Row],[Age]]&lt;=30),"24-30",Table1[[#This Row],[Age]]&lt;=35,"31-35",Table1[[#This Row],[Age]]&lt;=40,"36-40",Table1[[#This Row],[Age]]&lt;=45,"41-45",Table1[[#This Row],[Age]]&lt;=50,"46-50",Table1[[#This Row],[Age]]&lt;=55,"51-55",Table1[[#This Row],[Age]]&lt;=60,"56-60",Table1[[#This Row],[Age]]&lt;=66,"61-66")</f>
        <v>24-30</v>
      </c>
      <c r="O306" t="s">
        <v>1077</v>
      </c>
      <c r="P306" t="str" cm="1">
        <f t="array" ref="P306">_xlfn.IFS(Table1[[#This Row],[Company Tenure]]&lt;=5,"1-5",Table1[[#This Row],[Company Tenure]]&lt;=10,"6-10",Table1[[#This Row],[Company Tenure]]&lt;=15,"11-15",Table1[[#This Row],[Company Tenure]]&lt;=20, "15-20",Table1[[#This Row],[Company Tenure]]&gt;20,"Above 20")</f>
        <v>1-5</v>
      </c>
    </row>
    <row r="307" spans="1:16" x14ac:dyDescent="0.25">
      <c r="A307" t="s">
        <v>698</v>
      </c>
      <c r="B307" t="s">
        <v>514</v>
      </c>
      <c r="C307" t="s">
        <v>16</v>
      </c>
      <c r="D307" t="s">
        <v>23</v>
      </c>
      <c r="E307">
        <v>49</v>
      </c>
      <c r="F307" t="s">
        <v>1066</v>
      </c>
      <c r="G307" t="s">
        <v>44</v>
      </c>
      <c r="H307" s="2">
        <v>56599</v>
      </c>
      <c r="I307" s="1">
        <v>42302</v>
      </c>
      <c r="J307" s="3">
        <v>10</v>
      </c>
      <c r="K307" t="s">
        <v>162</v>
      </c>
      <c r="L307" t="s">
        <v>39</v>
      </c>
      <c r="M307">
        <v>2</v>
      </c>
      <c r="N307" t="str" cm="1">
        <f t="array" ref="N307">_xlfn.IFS(AND(24&lt;=Table1[[#This Row],[Age]],Table1[[#This Row],[Age]]&lt;=30),"24-30",Table1[[#This Row],[Age]]&lt;=35,"31-35",Table1[[#This Row],[Age]]&lt;=40,"36-40",Table1[[#This Row],[Age]]&lt;=45,"41-45",Table1[[#This Row],[Age]]&lt;=50,"46-50",Table1[[#This Row],[Age]]&lt;=55,"51-55",Table1[[#This Row],[Age]]&lt;=60,"56-60",Table1[[#This Row],[Age]]&lt;=66,"61-66")</f>
        <v>46-50</v>
      </c>
      <c r="O307" t="s">
        <v>1077</v>
      </c>
      <c r="P307" t="str" cm="1">
        <f t="array" ref="P307">_xlfn.IFS(Table1[[#This Row],[Company Tenure]]&lt;=5,"1-5",Table1[[#This Row],[Company Tenure]]&lt;=10,"6-10",Table1[[#This Row],[Company Tenure]]&lt;=15,"11-15",Table1[[#This Row],[Company Tenure]]&lt;=20, "15-20",Table1[[#This Row],[Company Tenure]]&gt;20,"Above 20")</f>
        <v>6-10</v>
      </c>
    </row>
    <row r="308" spans="1:16" x14ac:dyDescent="0.25">
      <c r="A308" t="s">
        <v>699</v>
      </c>
      <c r="B308" t="s">
        <v>47</v>
      </c>
      <c r="C308" t="s">
        <v>962</v>
      </c>
      <c r="D308" t="s">
        <v>23</v>
      </c>
      <c r="E308">
        <v>41</v>
      </c>
      <c r="F308" t="s">
        <v>133</v>
      </c>
      <c r="G308" t="s">
        <v>44</v>
      </c>
      <c r="H308" s="2">
        <v>52054</v>
      </c>
      <c r="I308" s="1">
        <v>41121</v>
      </c>
      <c r="J308" s="3">
        <v>14</v>
      </c>
      <c r="K308" t="s">
        <v>700</v>
      </c>
      <c r="L308" t="s">
        <v>85</v>
      </c>
      <c r="M308">
        <v>4</v>
      </c>
      <c r="N308" t="str" cm="1">
        <f t="array" ref="N308">_xlfn.IFS(AND(24&lt;=Table1[[#This Row],[Age]],Table1[[#This Row],[Age]]&lt;=30),"24-30",Table1[[#This Row],[Age]]&lt;=35,"31-35",Table1[[#This Row],[Age]]&lt;=40,"36-40",Table1[[#This Row],[Age]]&lt;=45,"41-45",Table1[[#This Row],[Age]]&lt;=50,"46-50",Table1[[#This Row],[Age]]&lt;=55,"51-55",Table1[[#This Row],[Age]]&lt;=60,"56-60",Table1[[#This Row],[Age]]&lt;=66,"61-66")</f>
        <v>41-45</v>
      </c>
      <c r="O308" t="s">
        <v>1077</v>
      </c>
      <c r="P308" t="str" cm="1">
        <f t="array" ref="P308">_xlfn.IFS(Table1[[#This Row],[Company Tenure]]&lt;=5,"1-5",Table1[[#This Row],[Company Tenure]]&lt;=10,"6-10",Table1[[#This Row],[Company Tenure]]&lt;=15,"11-15",Table1[[#This Row],[Company Tenure]]&lt;=20, "15-20",Table1[[#This Row],[Company Tenure]]&gt;20,"Above 20")</f>
        <v>11-15</v>
      </c>
    </row>
    <row r="309" spans="1:16" x14ac:dyDescent="0.25">
      <c r="A309" t="s">
        <v>701</v>
      </c>
      <c r="B309" t="s">
        <v>132</v>
      </c>
      <c r="C309" t="s">
        <v>124</v>
      </c>
      <c r="D309" t="s">
        <v>8</v>
      </c>
      <c r="E309">
        <v>49</v>
      </c>
      <c r="F309" t="s">
        <v>9</v>
      </c>
      <c r="G309" t="s">
        <v>100</v>
      </c>
      <c r="H309" s="2">
        <v>75203.97</v>
      </c>
      <c r="I309" s="1">
        <v>40972</v>
      </c>
      <c r="J309" s="3">
        <v>14</v>
      </c>
      <c r="K309" t="s">
        <v>702</v>
      </c>
      <c r="L309" t="s">
        <v>39</v>
      </c>
      <c r="M309">
        <v>4</v>
      </c>
      <c r="N309" t="str" cm="1">
        <f t="array" ref="N309">_xlfn.IFS(AND(24&lt;=Table1[[#This Row],[Age]],Table1[[#This Row],[Age]]&lt;=30),"24-30",Table1[[#This Row],[Age]]&lt;=35,"31-35",Table1[[#This Row],[Age]]&lt;=40,"36-40",Table1[[#This Row],[Age]]&lt;=45,"41-45",Table1[[#This Row],[Age]]&lt;=50,"46-50",Table1[[#This Row],[Age]]&lt;=55,"51-55",Table1[[#This Row],[Age]]&lt;=60,"56-60",Table1[[#This Row],[Age]]&lt;=66,"61-66")</f>
        <v>46-50</v>
      </c>
      <c r="O309" t="s">
        <v>1077</v>
      </c>
      <c r="P309" t="str" cm="1">
        <f t="array" ref="P309">_xlfn.IFS(Table1[[#This Row],[Company Tenure]]&lt;=5,"1-5",Table1[[#This Row],[Company Tenure]]&lt;=10,"6-10",Table1[[#This Row],[Company Tenure]]&lt;=15,"11-15",Table1[[#This Row],[Company Tenure]]&lt;=20, "15-20",Table1[[#This Row],[Company Tenure]]&gt;20,"Above 20")</f>
        <v>11-15</v>
      </c>
    </row>
    <row r="310" spans="1:16" x14ac:dyDescent="0.25">
      <c r="A310" t="s">
        <v>703</v>
      </c>
      <c r="B310" t="s">
        <v>99</v>
      </c>
      <c r="C310" t="s">
        <v>16</v>
      </c>
      <c r="D310" t="s">
        <v>23</v>
      </c>
      <c r="E310">
        <v>28</v>
      </c>
      <c r="F310" t="s">
        <v>295</v>
      </c>
      <c r="G310" t="s">
        <v>63</v>
      </c>
      <c r="H310" s="2">
        <v>83175</v>
      </c>
      <c r="I310" s="1" t="s">
        <v>1059</v>
      </c>
      <c r="J310" s="3" t="s">
        <v>1059</v>
      </c>
      <c r="K310" t="s">
        <v>704</v>
      </c>
      <c r="L310" t="s">
        <v>25</v>
      </c>
      <c r="M310">
        <v>3</v>
      </c>
      <c r="N310" t="str" cm="1">
        <f t="array" ref="N310">_xlfn.IFS(AND(24&lt;=Table1[[#This Row],[Age]],Table1[[#This Row],[Age]]&lt;=30),"24-30",Table1[[#This Row],[Age]]&lt;=35,"31-35",Table1[[#This Row],[Age]]&lt;=40,"36-40",Table1[[#This Row],[Age]]&lt;=45,"41-45",Table1[[#This Row],[Age]]&lt;=50,"46-50",Table1[[#This Row],[Age]]&lt;=55,"51-55",Table1[[#This Row],[Age]]&lt;=60,"56-60",Table1[[#This Row],[Age]]&lt;=66,"61-66")</f>
        <v>24-30</v>
      </c>
      <c r="O310" t="s">
        <v>1077</v>
      </c>
      <c r="P310" t="str" cm="1">
        <f t="array" ref="P310">_xlfn.IFS(Table1[[#This Row],[Company Tenure]]&lt;=5,"1-5",Table1[[#This Row],[Company Tenure]]&lt;=10,"6-10",Table1[[#This Row],[Company Tenure]]&lt;=15,"11-15",Table1[[#This Row],[Company Tenure]]&lt;=20, "15-20",Table1[[#This Row],[Company Tenure]]&gt;20,"Above 20")</f>
        <v>Above 20</v>
      </c>
    </row>
    <row r="311" spans="1:16" x14ac:dyDescent="0.25">
      <c r="A311" t="s">
        <v>705</v>
      </c>
      <c r="B311" t="s">
        <v>282</v>
      </c>
      <c r="C311" t="s">
        <v>88</v>
      </c>
      <c r="D311" t="s">
        <v>8</v>
      </c>
      <c r="E311">
        <v>24</v>
      </c>
      <c r="F311" t="s">
        <v>142</v>
      </c>
      <c r="G311" t="s">
        <v>17</v>
      </c>
      <c r="H311" s="2">
        <v>54146</v>
      </c>
      <c r="I311" s="1" t="s">
        <v>1059</v>
      </c>
      <c r="J311" s="3" t="s">
        <v>1059</v>
      </c>
      <c r="K311" t="s">
        <v>706</v>
      </c>
      <c r="L311" t="s">
        <v>25</v>
      </c>
      <c r="M311">
        <v>4</v>
      </c>
      <c r="N311" t="str" cm="1">
        <f t="array" ref="N311">_xlfn.IFS(AND(24&lt;=Table1[[#This Row],[Age]],Table1[[#This Row],[Age]]&lt;=30),"24-30",Table1[[#This Row],[Age]]&lt;=35,"31-35",Table1[[#This Row],[Age]]&lt;=40,"36-40",Table1[[#This Row],[Age]]&lt;=45,"41-45",Table1[[#This Row],[Age]]&lt;=50,"46-50",Table1[[#This Row],[Age]]&lt;=55,"51-55",Table1[[#This Row],[Age]]&lt;=60,"56-60",Table1[[#This Row],[Age]]&lt;=66,"61-66")</f>
        <v>24-30</v>
      </c>
      <c r="O311" t="s">
        <v>1077</v>
      </c>
      <c r="P311" t="str" cm="1">
        <f t="array" ref="P311">_xlfn.IFS(Table1[[#This Row],[Company Tenure]]&lt;=5,"1-5",Table1[[#This Row],[Company Tenure]]&lt;=10,"6-10",Table1[[#This Row],[Company Tenure]]&lt;=15,"11-15",Table1[[#This Row],[Company Tenure]]&lt;=20, "15-20",Table1[[#This Row],[Company Tenure]]&gt;20,"Above 20")</f>
        <v>Above 20</v>
      </c>
    </row>
    <row r="312" spans="1:16" x14ac:dyDescent="0.25">
      <c r="A312" t="s">
        <v>707</v>
      </c>
      <c r="B312" t="s">
        <v>451</v>
      </c>
      <c r="C312" t="s">
        <v>562</v>
      </c>
      <c r="D312" t="s">
        <v>23</v>
      </c>
      <c r="E312">
        <v>45</v>
      </c>
      <c r="F312" t="s">
        <v>133</v>
      </c>
      <c r="G312" t="s">
        <v>105</v>
      </c>
      <c r="H312" s="2">
        <v>103968.73</v>
      </c>
      <c r="I312" s="1">
        <v>40908</v>
      </c>
      <c r="J312" s="3">
        <v>14</v>
      </c>
      <c r="K312" t="s">
        <v>708</v>
      </c>
      <c r="L312" t="s">
        <v>39</v>
      </c>
      <c r="M312">
        <v>3</v>
      </c>
      <c r="N312" t="str" cm="1">
        <f t="array" ref="N312">_xlfn.IFS(AND(24&lt;=Table1[[#This Row],[Age]],Table1[[#This Row],[Age]]&lt;=30),"24-30",Table1[[#This Row],[Age]]&lt;=35,"31-35",Table1[[#This Row],[Age]]&lt;=40,"36-40",Table1[[#This Row],[Age]]&lt;=45,"41-45",Table1[[#This Row],[Age]]&lt;=50,"46-50",Table1[[#This Row],[Age]]&lt;=55,"51-55",Table1[[#This Row],[Age]]&lt;=60,"56-60",Table1[[#This Row],[Age]]&lt;=66,"61-66")</f>
        <v>41-45</v>
      </c>
      <c r="O312" t="s">
        <v>1074</v>
      </c>
      <c r="P312" t="str" cm="1">
        <f t="array" ref="P312">_xlfn.IFS(Table1[[#This Row],[Company Tenure]]&lt;=5,"1-5",Table1[[#This Row],[Company Tenure]]&lt;=10,"6-10",Table1[[#This Row],[Company Tenure]]&lt;=15,"11-15",Table1[[#This Row],[Company Tenure]]&lt;=20, "15-20",Table1[[#This Row],[Company Tenure]]&gt;20,"Above 20")</f>
        <v>11-15</v>
      </c>
    </row>
    <row r="313" spans="1:16" x14ac:dyDescent="0.25">
      <c r="A313" t="s">
        <v>709</v>
      </c>
      <c r="B313" t="s">
        <v>378</v>
      </c>
      <c r="C313" t="s">
        <v>351</v>
      </c>
      <c r="D313" t="s">
        <v>8</v>
      </c>
      <c r="E313">
        <v>30</v>
      </c>
      <c r="F313" t="s">
        <v>32</v>
      </c>
      <c r="G313" t="s">
        <v>44</v>
      </c>
      <c r="H313" s="2">
        <v>74194</v>
      </c>
      <c r="I313" s="1">
        <v>44594</v>
      </c>
      <c r="J313" s="3">
        <v>4</v>
      </c>
      <c r="K313" t="s">
        <v>710</v>
      </c>
      <c r="L313" t="s">
        <v>54</v>
      </c>
      <c r="M313">
        <v>5</v>
      </c>
      <c r="N313" t="str" cm="1">
        <f t="array" ref="N313">_xlfn.IFS(AND(24&lt;=Table1[[#This Row],[Age]],Table1[[#This Row],[Age]]&lt;=30),"24-30",Table1[[#This Row],[Age]]&lt;=35,"31-35",Table1[[#This Row],[Age]]&lt;=40,"36-40",Table1[[#This Row],[Age]]&lt;=45,"41-45",Table1[[#This Row],[Age]]&lt;=50,"46-50",Table1[[#This Row],[Age]]&lt;=55,"51-55",Table1[[#This Row],[Age]]&lt;=60,"56-60",Table1[[#This Row],[Age]]&lt;=66,"61-66")</f>
        <v>24-30</v>
      </c>
      <c r="O313" t="s">
        <v>1077</v>
      </c>
      <c r="P313" t="str" cm="1">
        <f t="array" ref="P313">_xlfn.IFS(Table1[[#This Row],[Company Tenure]]&lt;=5,"1-5",Table1[[#This Row],[Company Tenure]]&lt;=10,"6-10",Table1[[#This Row],[Company Tenure]]&lt;=15,"11-15",Table1[[#This Row],[Company Tenure]]&lt;=20, "15-20",Table1[[#This Row],[Company Tenure]]&gt;20,"Above 20")</f>
        <v>1-5</v>
      </c>
    </row>
    <row r="314" spans="1:16" x14ac:dyDescent="0.25">
      <c r="A314" t="s">
        <v>711</v>
      </c>
      <c r="B314" t="s">
        <v>268</v>
      </c>
      <c r="C314" t="s">
        <v>104</v>
      </c>
      <c r="D314" t="s">
        <v>23</v>
      </c>
      <c r="E314">
        <v>50</v>
      </c>
      <c r="F314" t="s">
        <v>154</v>
      </c>
      <c r="G314" t="s">
        <v>100</v>
      </c>
      <c r="H314" s="2">
        <v>39494.410000000003</v>
      </c>
      <c r="I314" s="1">
        <v>41246</v>
      </c>
      <c r="J314" s="3">
        <v>13</v>
      </c>
      <c r="K314" t="s">
        <v>712</v>
      </c>
      <c r="L314" t="s">
        <v>19</v>
      </c>
      <c r="M314">
        <v>4</v>
      </c>
      <c r="N314" t="str" cm="1">
        <f t="array" ref="N314">_xlfn.IFS(AND(24&lt;=Table1[[#This Row],[Age]],Table1[[#This Row],[Age]]&lt;=30),"24-30",Table1[[#This Row],[Age]]&lt;=35,"31-35",Table1[[#This Row],[Age]]&lt;=40,"36-40",Table1[[#This Row],[Age]]&lt;=45,"41-45",Table1[[#This Row],[Age]]&lt;=50,"46-50",Table1[[#This Row],[Age]]&lt;=55,"51-55",Table1[[#This Row],[Age]]&lt;=60,"56-60",Table1[[#This Row],[Age]]&lt;=66,"61-66")</f>
        <v>46-50</v>
      </c>
      <c r="O314" t="s">
        <v>1076</v>
      </c>
      <c r="P314" t="str" cm="1">
        <f t="array" ref="P314">_xlfn.IFS(Table1[[#This Row],[Company Tenure]]&lt;=5,"1-5",Table1[[#This Row],[Company Tenure]]&lt;=10,"6-10",Table1[[#This Row],[Company Tenure]]&lt;=15,"11-15",Table1[[#This Row],[Company Tenure]]&lt;=20, "15-20",Table1[[#This Row],[Company Tenure]]&gt;20,"Above 20")</f>
        <v>11-15</v>
      </c>
    </row>
    <row r="315" spans="1:16" x14ac:dyDescent="0.25">
      <c r="A315" t="s">
        <v>713</v>
      </c>
      <c r="B315" t="s">
        <v>714</v>
      </c>
      <c r="C315" t="s">
        <v>104</v>
      </c>
      <c r="D315" t="s">
        <v>23</v>
      </c>
      <c r="E315">
        <v>45</v>
      </c>
      <c r="F315" t="s">
        <v>36</v>
      </c>
      <c r="G315" t="s">
        <v>2</v>
      </c>
      <c r="H315" s="2">
        <v>131324</v>
      </c>
      <c r="I315" s="1">
        <v>40217</v>
      </c>
      <c r="J315" s="3">
        <v>16</v>
      </c>
      <c r="K315" t="s">
        <v>510</v>
      </c>
      <c r="L315" t="s">
        <v>65</v>
      </c>
      <c r="M315">
        <v>2</v>
      </c>
      <c r="N315" t="str" cm="1">
        <f t="array" ref="N315">_xlfn.IFS(AND(24&lt;=Table1[[#This Row],[Age]],Table1[[#This Row],[Age]]&lt;=30),"24-30",Table1[[#This Row],[Age]]&lt;=35,"31-35",Table1[[#This Row],[Age]]&lt;=40,"36-40",Table1[[#This Row],[Age]]&lt;=45,"41-45",Table1[[#This Row],[Age]]&lt;=50,"46-50",Table1[[#This Row],[Age]]&lt;=55,"51-55",Table1[[#This Row],[Age]]&lt;=60,"56-60",Table1[[#This Row],[Age]]&lt;=66,"61-66")</f>
        <v>41-45</v>
      </c>
      <c r="O315" t="s">
        <v>1074</v>
      </c>
      <c r="P315" t="str" cm="1">
        <f t="array" ref="P315">_xlfn.IFS(Table1[[#This Row],[Company Tenure]]&lt;=5,"1-5",Table1[[#This Row],[Company Tenure]]&lt;=10,"6-10",Table1[[#This Row],[Company Tenure]]&lt;=15,"11-15",Table1[[#This Row],[Company Tenure]]&lt;=20, "15-20",Table1[[#This Row],[Company Tenure]]&gt;20,"Above 20")</f>
        <v>15-20</v>
      </c>
    </row>
    <row r="316" spans="1:16" x14ac:dyDescent="0.25">
      <c r="A316" t="s">
        <v>715</v>
      </c>
      <c r="B316" t="s">
        <v>115</v>
      </c>
      <c r="C316" t="s">
        <v>76</v>
      </c>
      <c r="D316" t="s">
        <v>23</v>
      </c>
      <c r="E316">
        <v>39</v>
      </c>
      <c r="F316" t="s">
        <v>313</v>
      </c>
      <c r="G316" t="s">
        <v>17</v>
      </c>
      <c r="H316" s="2">
        <v>102116</v>
      </c>
      <c r="I316" s="1">
        <v>40838</v>
      </c>
      <c r="J316" s="3">
        <v>14</v>
      </c>
      <c r="K316" t="s">
        <v>716</v>
      </c>
      <c r="L316" t="s">
        <v>65</v>
      </c>
      <c r="M316">
        <v>4</v>
      </c>
      <c r="N316" t="str" cm="1">
        <f t="array" ref="N316">_xlfn.IFS(AND(24&lt;=Table1[[#This Row],[Age]],Table1[[#This Row],[Age]]&lt;=30),"24-30",Table1[[#This Row],[Age]]&lt;=35,"31-35",Table1[[#This Row],[Age]]&lt;=40,"36-40",Table1[[#This Row],[Age]]&lt;=45,"41-45",Table1[[#This Row],[Age]]&lt;=50,"46-50",Table1[[#This Row],[Age]]&lt;=55,"51-55",Table1[[#This Row],[Age]]&lt;=60,"56-60",Table1[[#This Row],[Age]]&lt;=66,"61-66")</f>
        <v>36-40</v>
      </c>
      <c r="O316" t="s">
        <v>1074</v>
      </c>
      <c r="P316" t="str" cm="1">
        <f t="array" ref="P316">_xlfn.IFS(Table1[[#This Row],[Company Tenure]]&lt;=5,"1-5",Table1[[#This Row],[Company Tenure]]&lt;=10,"6-10",Table1[[#This Row],[Company Tenure]]&lt;=15,"11-15",Table1[[#This Row],[Company Tenure]]&lt;=20, "15-20",Table1[[#This Row],[Company Tenure]]&gt;20,"Above 20")</f>
        <v>11-15</v>
      </c>
    </row>
    <row r="317" spans="1:16" x14ac:dyDescent="0.25">
      <c r="A317" t="s">
        <v>717</v>
      </c>
      <c r="B317" t="s">
        <v>378</v>
      </c>
      <c r="C317" t="s">
        <v>80</v>
      </c>
      <c r="D317" t="s">
        <v>1</v>
      </c>
      <c r="E317">
        <v>42</v>
      </c>
      <c r="F317" t="s">
        <v>9</v>
      </c>
      <c r="G317" t="s">
        <v>17</v>
      </c>
      <c r="H317" s="2">
        <v>81112.27</v>
      </c>
      <c r="I317" s="1">
        <v>39735</v>
      </c>
      <c r="J317" s="3">
        <v>17</v>
      </c>
      <c r="K317" t="s">
        <v>718</v>
      </c>
      <c r="L317" t="s">
        <v>4</v>
      </c>
      <c r="M317">
        <v>3</v>
      </c>
      <c r="N317" t="str" cm="1">
        <f t="array" ref="N317">_xlfn.IFS(AND(24&lt;=Table1[[#This Row],[Age]],Table1[[#This Row],[Age]]&lt;=30),"24-30",Table1[[#This Row],[Age]]&lt;=35,"31-35",Table1[[#This Row],[Age]]&lt;=40,"36-40",Table1[[#This Row],[Age]]&lt;=45,"41-45",Table1[[#This Row],[Age]]&lt;=50,"46-50",Table1[[#This Row],[Age]]&lt;=55,"51-55",Table1[[#This Row],[Age]]&lt;=60,"56-60",Table1[[#This Row],[Age]]&lt;=66,"61-66")</f>
        <v>41-45</v>
      </c>
      <c r="O317" t="s">
        <v>1077</v>
      </c>
      <c r="P317" t="str" cm="1">
        <f t="array" ref="P317">_xlfn.IFS(Table1[[#This Row],[Company Tenure]]&lt;=5,"1-5",Table1[[#This Row],[Company Tenure]]&lt;=10,"6-10",Table1[[#This Row],[Company Tenure]]&lt;=15,"11-15",Table1[[#This Row],[Company Tenure]]&lt;=20, "15-20",Table1[[#This Row],[Company Tenure]]&gt;20,"Above 20")</f>
        <v>15-20</v>
      </c>
    </row>
    <row r="318" spans="1:16" x14ac:dyDescent="0.25">
      <c r="A318" t="s">
        <v>719</v>
      </c>
      <c r="B318" t="s">
        <v>232</v>
      </c>
      <c r="C318" t="s">
        <v>180</v>
      </c>
      <c r="D318" t="s">
        <v>23</v>
      </c>
      <c r="E318">
        <v>48</v>
      </c>
      <c r="F318" t="s">
        <v>181</v>
      </c>
      <c r="G318" t="s">
        <v>44</v>
      </c>
      <c r="H318" s="2">
        <v>46224.26</v>
      </c>
      <c r="I318" s="1">
        <v>43169</v>
      </c>
      <c r="J318" s="3">
        <v>8</v>
      </c>
      <c r="K318" t="s">
        <v>720</v>
      </c>
      <c r="L318" t="s">
        <v>120</v>
      </c>
      <c r="M318">
        <v>4</v>
      </c>
      <c r="N318" t="str" cm="1">
        <f t="array" ref="N318">_xlfn.IFS(AND(24&lt;=Table1[[#This Row],[Age]],Table1[[#This Row],[Age]]&lt;=30),"24-30",Table1[[#This Row],[Age]]&lt;=35,"31-35",Table1[[#This Row],[Age]]&lt;=40,"36-40",Table1[[#This Row],[Age]]&lt;=45,"41-45",Table1[[#This Row],[Age]]&lt;=50,"46-50",Table1[[#This Row],[Age]]&lt;=55,"51-55",Table1[[#This Row],[Age]]&lt;=60,"56-60",Table1[[#This Row],[Age]]&lt;=66,"61-66")</f>
        <v>46-50</v>
      </c>
      <c r="O318" t="s">
        <v>1076</v>
      </c>
      <c r="P318" t="str" cm="1">
        <f t="array" ref="P318">_xlfn.IFS(Table1[[#This Row],[Company Tenure]]&lt;=5,"1-5",Table1[[#This Row],[Company Tenure]]&lt;=10,"6-10",Table1[[#This Row],[Company Tenure]]&lt;=15,"11-15",Table1[[#This Row],[Company Tenure]]&lt;=20, "15-20",Table1[[#This Row],[Company Tenure]]&gt;20,"Above 20")</f>
        <v>6-10</v>
      </c>
    </row>
    <row r="319" spans="1:16" x14ac:dyDescent="0.25">
      <c r="A319" t="s">
        <v>721</v>
      </c>
      <c r="B319" t="s">
        <v>94</v>
      </c>
      <c r="C319" t="s">
        <v>80</v>
      </c>
      <c r="D319" t="s">
        <v>8</v>
      </c>
      <c r="E319">
        <v>42</v>
      </c>
      <c r="F319" t="s">
        <v>36</v>
      </c>
      <c r="G319" t="s">
        <v>44</v>
      </c>
      <c r="H319" s="2">
        <v>94088</v>
      </c>
      <c r="I319" s="1">
        <v>39801</v>
      </c>
      <c r="J319" s="3">
        <v>17</v>
      </c>
      <c r="K319" t="s">
        <v>722</v>
      </c>
      <c r="L319" t="s">
        <v>25</v>
      </c>
      <c r="M319">
        <v>4</v>
      </c>
      <c r="N319" t="str" cm="1">
        <f t="array" ref="N319">_xlfn.IFS(AND(24&lt;=Table1[[#This Row],[Age]],Table1[[#This Row],[Age]]&lt;=30),"24-30",Table1[[#This Row],[Age]]&lt;=35,"31-35",Table1[[#This Row],[Age]]&lt;=40,"36-40",Table1[[#This Row],[Age]]&lt;=45,"41-45",Table1[[#This Row],[Age]]&lt;=50,"46-50",Table1[[#This Row],[Age]]&lt;=55,"51-55",Table1[[#This Row],[Age]]&lt;=60,"56-60",Table1[[#This Row],[Age]]&lt;=66,"61-66")</f>
        <v>41-45</v>
      </c>
      <c r="O319" t="s">
        <v>1077</v>
      </c>
      <c r="P319" t="str" cm="1">
        <f t="array" ref="P319">_xlfn.IFS(Table1[[#This Row],[Company Tenure]]&lt;=5,"1-5",Table1[[#This Row],[Company Tenure]]&lt;=10,"6-10",Table1[[#This Row],[Company Tenure]]&lt;=15,"11-15",Table1[[#This Row],[Company Tenure]]&lt;=20, "15-20",Table1[[#This Row],[Company Tenure]]&gt;20,"Above 20")</f>
        <v>15-20</v>
      </c>
    </row>
    <row r="320" spans="1:16" x14ac:dyDescent="0.25">
      <c r="A320" t="s">
        <v>723</v>
      </c>
      <c r="B320" t="s">
        <v>79</v>
      </c>
      <c r="C320" t="s">
        <v>485</v>
      </c>
      <c r="D320" t="s">
        <v>1</v>
      </c>
      <c r="E320">
        <v>50</v>
      </c>
      <c r="F320" t="s">
        <v>1066</v>
      </c>
      <c r="G320" t="s">
        <v>44</v>
      </c>
      <c r="H320" s="2">
        <v>66020</v>
      </c>
      <c r="I320" s="1">
        <v>39322</v>
      </c>
      <c r="J320" s="3">
        <v>19</v>
      </c>
      <c r="K320" t="s">
        <v>724</v>
      </c>
      <c r="L320" t="s">
        <v>107</v>
      </c>
      <c r="M320">
        <v>3</v>
      </c>
      <c r="N320" t="str" cm="1">
        <f t="array" ref="N320">_xlfn.IFS(AND(24&lt;=Table1[[#This Row],[Age]],Table1[[#This Row],[Age]]&lt;=30),"24-30",Table1[[#This Row],[Age]]&lt;=35,"31-35",Table1[[#This Row],[Age]]&lt;=40,"36-40",Table1[[#This Row],[Age]]&lt;=45,"41-45",Table1[[#This Row],[Age]]&lt;=50,"46-50",Table1[[#This Row],[Age]]&lt;=55,"51-55",Table1[[#This Row],[Age]]&lt;=60,"56-60",Table1[[#This Row],[Age]]&lt;=66,"61-66")</f>
        <v>46-50</v>
      </c>
      <c r="O320" t="s">
        <v>1077</v>
      </c>
      <c r="P320" t="str" cm="1">
        <f t="array" ref="P320">_xlfn.IFS(Table1[[#This Row],[Company Tenure]]&lt;=5,"1-5",Table1[[#This Row],[Company Tenure]]&lt;=10,"6-10",Table1[[#This Row],[Company Tenure]]&lt;=15,"11-15",Table1[[#This Row],[Company Tenure]]&lt;=20, "15-20",Table1[[#This Row],[Company Tenure]]&gt;20,"Above 20")</f>
        <v>15-20</v>
      </c>
    </row>
    <row r="321" spans="1:16" x14ac:dyDescent="0.25">
      <c r="A321" t="s">
        <v>725</v>
      </c>
      <c r="B321" t="s">
        <v>316</v>
      </c>
      <c r="C321" t="s">
        <v>962</v>
      </c>
      <c r="D321" t="s">
        <v>8</v>
      </c>
      <c r="E321">
        <v>36</v>
      </c>
      <c r="F321" t="s">
        <v>154</v>
      </c>
      <c r="G321" t="s">
        <v>37</v>
      </c>
      <c r="H321" s="2">
        <v>55262</v>
      </c>
      <c r="I321" s="1">
        <v>43213</v>
      </c>
      <c r="J321" s="3">
        <v>8</v>
      </c>
      <c r="K321" t="s">
        <v>726</v>
      </c>
      <c r="L321" t="s">
        <v>107</v>
      </c>
      <c r="M321">
        <v>2</v>
      </c>
      <c r="N321" t="str" cm="1">
        <f t="array" ref="N321">_xlfn.IFS(AND(24&lt;=Table1[[#This Row],[Age]],Table1[[#This Row],[Age]]&lt;=30),"24-30",Table1[[#This Row],[Age]]&lt;=35,"31-35",Table1[[#This Row],[Age]]&lt;=40,"36-40",Table1[[#This Row],[Age]]&lt;=45,"41-45",Table1[[#This Row],[Age]]&lt;=50,"46-50",Table1[[#This Row],[Age]]&lt;=55,"51-55",Table1[[#This Row],[Age]]&lt;=60,"56-60",Table1[[#This Row],[Age]]&lt;=66,"61-66")</f>
        <v>36-40</v>
      </c>
      <c r="O321" t="s">
        <v>1077</v>
      </c>
      <c r="P321" t="str" cm="1">
        <f t="array" ref="P321">_xlfn.IFS(Table1[[#This Row],[Company Tenure]]&lt;=5,"1-5",Table1[[#This Row],[Company Tenure]]&lt;=10,"6-10",Table1[[#This Row],[Company Tenure]]&lt;=15,"11-15",Table1[[#This Row],[Company Tenure]]&lt;=20, "15-20",Table1[[#This Row],[Company Tenure]]&gt;20,"Above 20")</f>
        <v>6-10</v>
      </c>
    </row>
    <row r="322" spans="1:16" x14ac:dyDescent="0.25">
      <c r="A322" t="s">
        <v>727</v>
      </c>
      <c r="B322" t="s">
        <v>451</v>
      </c>
      <c r="C322" t="s">
        <v>356</v>
      </c>
      <c r="D322" t="s">
        <v>1</v>
      </c>
      <c r="E322">
        <v>29</v>
      </c>
      <c r="F322" t="s">
        <v>154</v>
      </c>
      <c r="G322" t="s">
        <v>216</v>
      </c>
      <c r="H322" s="2">
        <v>111675</v>
      </c>
      <c r="I322" s="1">
        <v>43358</v>
      </c>
      <c r="J322" s="3">
        <v>8</v>
      </c>
      <c r="K322" t="s">
        <v>728</v>
      </c>
      <c r="L322" t="s">
        <v>207</v>
      </c>
      <c r="M322">
        <v>5</v>
      </c>
      <c r="N322" t="str" cm="1">
        <f t="array" ref="N322">_xlfn.IFS(AND(24&lt;=Table1[[#This Row],[Age]],Table1[[#This Row],[Age]]&lt;=30),"24-30",Table1[[#This Row],[Age]]&lt;=35,"31-35",Table1[[#This Row],[Age]]&lt;=40,"36-40",Table1[[#This Row],[Age]]&lt;=45,"41-45",Table1[[#This Row],[Age]]&lt;=50,"46-50",Table1[[#This Row],[Age]]&lt;=55,"51-55",Table1[[#This Row],[Age]]&lt;=60,"56-60",Table1[[#This Row],[Age]]&lt;=66,"61-66")</f>
        <v>24-30</v>
      </c>
      <c r="O322" t="s">
        <v>1074</v>
      </c>
      <c r="P322" t="str" cm="1">
        <f t="array" ref="P322">_xlfn.IFS(Table1[[#This Row],[Company Tenure]]&lt;=5,"1-5",Table1[[#This Row],[Company Tenure]]&lt;=10,"6-10",Table1[[#This Row],[Company Tenure]]&lt;=15,"11-15",Table1[[#This Row],[Company Tenure]]&lt;=20, "15-20",Table1[[#This Row],[Company Tenure]]&gt;20,"Above 20")</f>
        <v>6-10</v>
      </c>
    </row>
    <row r="323" spans="1:16" x14ac:dyDescent="0.25">
      <c r="A323" t="s">
        <v>729</v>
      </c>
      <c r="B323" t="s">
        <v>476</v>
      </c>
      <c r="C323" t="s">
        <v>291</v>
      </c>
      <c r="D323" t="s">
        <v>23</v>
      </c>
      <c r="E323">
        <v>40</v>
      </c>
      <c r="F323" t="s">
        <v>133</v>
      </c>
      <c r="G323" t="s">
        <v>63</v>
      </c>
      <c r="H323" s="2">
        <v>62430</v>
      </c>
      <c r="I323" s="1">
        <v>44170</v>
      </c>
      <c r="J323" s="3">
        <v>5</v>
      </c>
      <c r="K323" t="s">
        <v>518</v>
      </c>
      <c r="L323" t="s">
        <v>11</v>
      </c>
      <c r="M323">
        <v>3</v>
      </c>
      <c r="N323" t="str" cm="1">
        <f t="array" ref="N323">_xlfn.IFS(AND(24&lt;=Table1[[#This Row],[Age]],Table1[[#This Row],[Age]]&lt;=30),"24-30",Table1[[#This Row],[Age]]&lt;=35,"31-35",Table1[[#This Row],[Age]]&lt;=40,"36-40",Table1[[#This Row],[Age]]&lt;=45,"41-45",Table1[[#This Row],[Age]]&lt;=50,"46-50",Table1[[#This Row],[Age]]&lt;=55,"51-55",Table1[[#This Row],[Age]]&lt;=60,"56-60",Table1[[#This Row],[Age]]&lt;=66,"61-66")</f>
        <v>36-40</v>
      </c>
      <c r="O323" t="s">
        <v>1077</v>
      </c>
      <c r="P323" t="str" cm="1">
        <f t="array" ref="P323">_xlfn.IFS(Table1[[#This Row],[Company Tenure]]&lt;=5,"1-5",Table1[[#This Row],[Company Tenure]]&lt;=10,"6-10",Table1[[#This Row],[Company Tenure]]&lt;=15,"11-15",Table1[[#This Row],[Company Tenure]]&lt;=20, "15-20",Table1[[#This Row],[Company Tenure]]&gt;20,"Above 20")</f>
        <v>1-5</v>
      </c>
    </row>
    <row r="324" spans="1:16" x14ac:dyDescent="0.25">
      <c r="A324" t="s">
        <v>730</v>
      </c>
      <c r="B324" t="s">
        <v>530</v>
      </c>
      <c r="C324" t="s">
        <v>104</v>
      </c>
      <c r="D324" t="s">
        <v>8</v>
      </c>
      <c r="E324">
        <v>43</v>
      </c>
      <c r="F324" t="s">
        <v>313</v>
      </c>
      <c r="G324" t="s">
        <v>44</v>
      </c>
      <c r="H324" s="2">
        <v>89574.81</v>
      </c>
      <c r="I324" s="1">
        <v>45401</v>
      </c>
      <c r="J324" s="3">
        <v>2</v>
      </c>
      <c r="K324" t="s">
        <v>731</v>
      </c>
      <c r="L324" t="s">
        <v>207</v>
      </c>
      <c r="M324">
        <v>3</v>
      </c>
      <c r="N324" t="str" cm="1">
        <f t="array" ref="N324">_xlfn.IFS(AND(24&lt;=Table1[[#This Row],[Age]],Table1[[#This Row],[Age]]&lt;=30),"24-30",Table1[[#This Row],[Age]]&lt;=35,"31-35",Table1[[#This Row],[Age]]&lt;=40,"36-40",Table1[[#This Row],[Age]]&lt;=45,"41-45",Table1[[#This Row],[Age]]&lt;=50,"46-50",Table1[[#This Row],[Age]]&lt;=55,"51-55",Table1[[#This Row],[Age]]&lt;=60,"56-60",Table1[[#This Row],[Age]]&lt;=66,"61-66")</f>
        <v>41-45</v>
      </c>
      <c r="O324" t="s">
        <v>1077</v>
      </c>
      <c r="P324" t="str" cm="1">
        <f t="array" ref="P324">_xlfn.IFS(Table1[[#This Row],[Company Tenure]]&lt;=5,"1-5",Table1[[#This Row],[Company Tenure]]&lt;=10,"6-10",Table1[[#This Row],[Company Tenure]]&lt;=15,"11-15",Table1[[#This Row],[Company Tenure]]&lt;=20, "15-20",Table1[[#This Row],[Company Tenure]]&gt;20,"Above 20")</f>
        <v>1-5</v>
      </c>
    </row>
    <row r="325" spans="1:16" x14ac:dyDescent="0.25">
      <c r="A325" t="s">
        <v>732</v>
      </c>
      <c r="B325" t="s">
        <v>714</v>
      </c>
      <c r="C325" t="s">
        <v>562</v>
      </c>
      <c r="D325" t="s">
        <v>8</v>
      </c>
      <c r="E325">
        <v>56</v>
      </c>
      <c r="F325" t="s">
        <v>9</v>
      </c>
      <c r="G325" t="s">
        <v>37</v>
      </c>
      <c r="H325" s="2">
        <v>101858.75</v>
      </c>
      <c r="I325" s="1">
        <v>39032</v>
      </c>
      <c r="J325" s="3">
        <v>19</v>
      </c>
      <c r="K325" t="s">
        <v>733</v>
      </c>
      <c r="L325" t="s">
        <v>14</v>
      </c>
      <c r="M325">
        <v>4</v>
      </c>
      <c r="N325" t="str" cm="1">
        <f t="array" ref="N325">_xlfn.IFS(AND(24&lt;=Table1[[#This Row],[Age]],Table1[[#This Row],[Age]]&lt;=30),"24-30",Table1[[#This Row],[Age]]&lt;=35,"31-35",Table1[[#This Row],[Age]]&lt;=40,"36-40",Table1[[#This Row],[Age]]&lt;=45,"41-45",Table1[[#This Row],[Age]]&lt;=50,"46-50",Table1[[#This Row],[Age]]&lt;=55,"51-55",Table1[[#This Row],[Age]]&lt;=60,"56-60",Table1[[#This Row],[Age]]&lt;=66,"61-66")</f>
        <v>56-60</v>
      </c>
      <c r="O325" t="s">
        <v>1074</v>
      </c>
      <c r="P325" t="str" cm="1">
        <f t="array" ref="P325">_xlfn.IFS(Table1[[#This Row],[Company Tenure]]&lt;=5,"1-5",Table1[[#This Row],[Company Tenure]]&lt;=10,"6-10",Table1[[#This Row],[Company Tenure]]&lt;=15,"11-15",Table1[[#This Row],[Company Tenure]]&lt;=20, "15-20",Table1[[#This Row],[Company Tenure]]&gt;20,"Above 20")</f>
        <v>15-20</v>
      </c>
    </row>
    <row r="326" spans="1:16" x14ac:dyDescent="0.25">
      <c r="A326" t="s">
        <v>734</v>
      </c>
      <c r="B326" t="s">
        <v>79</v>
      </c>
      <c r="C326" t="s">
        <v>169</v>
      </c>
      <c r="D326" t="s">
        <v>8</v>
      </c>
      <c r="E326">
        <v>43</v>
      </c>
      <c r="F326" t="s">
        <v>203</v>
      </c>
      <c r="G326" t="s">
        <v>100</v>
      </c>
      <c r="H326" s="2">
        <v>44257</v>
      </c>
      <c r="I326" s="1">
        <v>41491</v>
      </c>
      <c r="J326" s="3">
        <v>13</v>
      </c>
      <c r="K326" t="s">
        <v>735</v>
      </c>
      <c r="L326" t="s">
        <v>4</v>
      </c>
      <c r="M326">
        <v>4</v>
      </c>
      <c r="N326" t="str" cm="1">
        <f t="array" ref="N326">_xlfn.IFS(AND(24&lt;=Table1[[#This Row],[Age]],Table1[[#This Row],[Age]]&lt;=30),"24-30",Table1[[#This Row],[Age]]&lt;=35,"31-35",Table1[[#This Row],[Age]]&lt;=40,"36-40",Table1[[#This Row],[Age]]&lt;=45,"41-45",Table1[[#This Row],[Age]]&lt;=50,"46-50",Table1[[#This Row],[Age]]&lt;=55,"51-55",Table1[[#This Row],[Age]]&lt;=60,"56-60",Table1[[#This Row],[Age]]&lt;=66,"61-66")</f>
        <v>41-45</v>
      </c>
      <c r="O326" t="s">
        <v>1076</v>
      </c>
      <c r="P326" t="str" cm="1">
        <f t="array" ref="P326">_xlfn.IFS(Table1[[#This Row],[Company Tenure]]&lt;=5,"1-5",Table1[[#This Row],[Company Tenure]]&lt;=10,"6-10",Table1[[#This Row],[Company Tenure]]&lt;=15,"11-15",Table1[[#This Row],[Company Tenure]]&lt;=20, "15-20",Table1[[#This Row],[Company Tenure]]&gt;20,"Above 20")</f>
        <v>11-15</v>
      </c>
    </row>
    <row r="327" spans="1:16" x14ac:dyDescent="0.25">
      <c r="A327" t="s">
        <v>736</v>
      </c>
      <c r="B327" t="s">
        <v>132</v>
      </c>
      <c r="C327" t="s">
        <v>427</v>
      </c>
      <c r="D327" t="s">
        <v>8</v>
      </c>
      <c r="E327">
        <v>51</v>
      </c>
      <c r="F327" t="s">
        <v>142</v>
      </c>
      <c r="G327" t="s">
        <v>17</v>
      </c>
      <c r="H327" s="2">
        <v>53141</v>
      </c>
      <c r="I327" s="1">
        <v>38495</v>
      </c>
      <c r="J327" s="3">
        <v>21</v>
      </c>
      <c r="K327" t="s">
        <v>737</v>
      </c>
      <c r="L327" t="s">
        <v>39</v>
      </c>
      <c r="M327">
        <v>3</v>
      </c>
      <c r="N327" t="str" cm="1">
        <f t="array" ref="N327">_xlfn.IFS(AND(24&lt;=Table1[[#This Row],[Age]],Table1[[#This Row],[Age]]&lt;=30),"24-30",Table1[[#This Row],[Age]]&lt;=35,"31-35",Table1[[#This Row],[Age]]&lt;=40,"36-40",Table1[[#This Row],[Age]]&lt;=45,"41-45",Table1[[#This Row],[Age]]&lt;=50,"46-50",Table1[[#This Row],[Age]]&lt;=55,"51-55",Table1[[#This Row],[Age]]&lt;=60,"56-60",Table1[[#This Row],[Age]]&lt;=66,"61-66")</f>
        <v>51-55</v>
      </c>
      <c r="O327" t="s">
        <v>1077</v>
      </c>
      <c r="P327" t="str" cm="1">
        <f t="array" ref="P327">_xlfn.IFS(Table1[[#This Row],[Company Tenure]]&lt;=5,"1-5",Table1[[#This Row],[Company Tenure]]&lt;=10,"6-10",Table1[[#This Row],[Company Tenure]]&lt;=15,"11-15",Table1[[#This Row],[Company Tenure]]&lt;=20, "15-20",Table1[[#This Row],[Company Tenure]]&gt;20,"Above 20")</f>
        <v>Above 20</v>
      </c>
    </row>
    <row r="328" spans="1:16" x14ac:dyDescent="0.25">
      <c r="A328" t="s">
        <v>738</v>
      </c>
      <c r="B328" t="s">
        <v>73</v>
      </c>
      <c r="C328" t="s">
        <v>16</v>
      </c>
      <c r="D328" t="s">
        <v>8</v>
      </c>
      <c r="E328">
        <v>38</v>
      </c>
      <c r="F328" t="s">
        <v>203</v>
      </c>
      <c r="G328" t="s">
        <v>63</v>
      </c>
      <c r="H328" s="2">
        <v>59311</v>
      </c>
      <c r="I328" s="1">
        <v>41059</v>
      </c>
      <c r="J328" s="3">
        <v>14</v>
      </c>
      <c r="K328" t="s">
        <v>739</v>
      </c>
      <c r="L328" t="s">
        <v>49</v>
      </c>
      <c r="M328">
        <v>2</v>
      </c>
      <c r="N328" t="str" cm="1">
        <f t="array" ref="N328">_xlfn.IFS(AND(24&lt;=Table1[[#This Row],[Age]],Table1[[#This Row],[Age]]&lt;=30),"24-30",Table1[[#This Row],[Age]]&lt;=35,"31-35",Table1[[#This Row],[Age]]&lt;=40,"36-40",Table1[[#This Row],[Age]]&lt;=45,"41-45",Table1[[#This Row],[Age]]&lt;=50,"46-50",Table1[[#This Row],[Age]]&lt;=55,"51-55",Table1[[#This Row],[Age]]&lt;=60,"56-60",Table1[[#This Row],[Age]]&lt;=66,"61-66")</f>
        <v>36-40</v>
      </c>
      <c r="O328" t="s">
        <v>1077</v>
      </c>
      <c r="P328" t="str" cm="1">
        <f t="array" ref="P328">_xlfn.IFS(Table1[[#This Row],[Company Tenure]]&lt;=5,"1-5",Table1[[#This Row],[Company Tenure]]&lt;=10,"6-10",Table1[[#This Row],[Company Tenure]]&lt;=15,"11-15",Table1[[#This Row],[Company Tenure]]&lt;=20, "15-20",Table1[[#This Row],[Company Tenure]]&gt;20,"Above 20")</f>
        <v>11-15</v>
      </c>
    </row>
    <row r="329" spans="1:16" x14ac:dyDescent="0.25">
      <c r="A329" t="s">
        <v>740</v>
      </c>
      <c r="B329" t="s">
        <v>79</v>
      </c>
      <c r="C329" t="s">
        <v>287</v>
      </c>
      <c r="D329" t="s">
        <v>8</v>
      </c>
      <c r="E329">
        <v>39</v>
      </c>
      <c r="F329" t="s">
        <v>154</v>
      </c>
      <c r="G329" t="s">
        <v>63</v>
      </c>
      <c r="H329" s="2">
        <v>53058.79</v>
      </c>
      <c r="I329" s="1">
        <v>40609</v>
      </c>
      <c r="J329" s="3">
        <v>15</v>
      </c>
      <c r="K329" t="s">
        <v>741</v>
      </c>
      <c r="L329" t="s">
        <v>120</v>
      </c>
      <c r="M329">
        <v>3</v>
      </c>
      <c r="N329" t="str" cm="1">
        <f t="array" ref="N329">_xlfn.IFS(AND(24&lt;=Table1[[#This Row],[Age]],Table1[[#This Row],[Age]]&lt;=30),"24-30",Table1[[#This Row],[Age]]&lt;=35,"31-35",Table1[[#This Row],[Age]]&lt;=40,"36-40",Table1[[#This Row],[Age]]&lt;=45,"41-45",Table1[[#This Row],[Age]]&lt;=50,"46-50",Table1[[#This Row],[Age]]&lt;=55,"51-55",Table1[[#This Row],[Age]]&lt;=60,"56-60",Table1[[#This Row],[Age]]&lt;=66,"61-66")</f>
        <v>36-40</v>
      </c>
      <c r="O329" t="s">
        <v>1077</v>
      </c>
      <c r="P329" t="str" cm="1">
        <f t="array" ref="P329">_xlfn.IFS(Table1[[#This Row],[Company Tenure]]&lt;=5,"1-5",Table1[[#This Row],[Company Tenure]]&lt;=10,"6-10",Table1[[#This Row],[Company Tenure]]&lt;=15,"11-15",Table1[[#This Row],[Company Tenure]]&lt;=20, "15-20",Table1[[#This Row],[Company Tenure]]&gt;20,"Above 20")</f>
        <v>11-15</v>
      </c>
    </row>
    <row r="330" spans="1:16" x14ac:dyDescent="0.25">
      <c r="A330" t="s">
        <v>742</v>
      </c>
      <c r="B330" t="s">
        <v>451</v>
      </c>
      <c r="C330" t="s">
        <v>80</v>
      </c>
      <c r="D330" t="s">
        <v>1</v>
      </c>
      <c r="E330">
        <v>45</v>
      </c>
      <c r="F330" t="s">
        <v>154</v>
      </c>
      <c r="G330" t="s">
        <v>17</v>
      </c>
      <c r="H330" s="2">
        <v>46074</v>
      </c>
      <c r="I330" s="1">
        <v>41701</v>
      </c>
      <c r="J330" s="3">
        <v>12</v>
      </c>
      <c r="K330" t="s">
        <v>743</v>
      </c>
      <c r="L330" t="s">
        <v>120</v>
      </c>
      <c r="M330">
        <v>2</v>
      </c>
      <c r="N330" t="str" cm="1">
        <f t="array" ref="N330">_xlfn.IFS(AND(24&lt;=Table1[[#This Row],[Age]],Table1[[#This Row],[Age]]&lt;=30),"24-30",Table1[[#This Row],[Age]]&lt;=35,"31-35",Table1[[#This Row],[Age]]&lt;=40,"36-40",Table1[[#This Row],[Age]]&lt;=45,"41-45",Table1[[#This Row],[Age]]&lt;=50,"46-50",Table1[[#This Row],[Age]]&lt;=55,"51-55",Table1[[#This Row],[Age]]&lt;=60,"56-60",Table1[[#This Row],[Age]]&lt;=66,"61-66")</f>
        <v>41-45</v>
      </c>
      <c r="O330" t="s">
        <v>1076</v>
      </c>
      <c r="P330" t="str" cm="1">
        <f t="array" ref="P330">_xlfn.IFS(Table1[[#This Row],[Company Tenure]]&lt;=5,"1-5",Table1[[#This Row],[Company Tenure]]&lt;=10,"6-10",Table1[[#This Row],[Company Tenure]]&lt;=15,"11-15",Table1[[#This Row],[Company Tenure]]&lt;=20, "15-20",Table1[[#This Row],[Company Tenure]]&gt;20,"Above 20")</f>
        <v>11-15</v>
      </c>
    </row>
    <row r="331" spans="1:16" x14ac:dyDescent="0.25">
      <c r="A331" t="s">
        <v>744</v>
      </c>
      <c r="B331" t="s">
        <v>624</v>
      </c>
      <c r="C331" t="s">
        <v>118</v>
      </c>
      <c r="D331" t="s">
        <v>1</v>
      </c>
      <c r="E331">
        <v>43</v>
      </c>
      <c r="F331" t="s">
        <v>295</v>
      </c>
      <c r="G331" t="s">
        <v>37</v>
      </c>
      <c r="H331" s="2">
        <v>81920</v>
      </c>
      <c r="I331" s="1">
        <v>45438</v>
      </c>
      <c r="J331" s="3">
        <v>2</v>
      </c>
      <c r="K331" t="s">
        <v>745</v>
      </c>
      <c r="L331" t="s">
        <v>11</v>
      </c>
      <c r="M331">
        <v>2</v>
      </c>
      <c r="N331" t="str" cm="1">
        <f t="array" ref="N331">_xlfn.IFS(AND(24&lt;=Table1[[#This Row],[Age]],Table1[[#This Row],[Age]]&lt;=30),"24-30",Table1[[#This Row],[Age]]&lt;=35,"31-35",Table1[[#This Row],[Age]]&lt;=40,"36-40",Table1[[#This Row],[Age]]&lt;=45,"41-45",Table1[[#This Row],[Age]]&lt;=50,"46-50",Table1[[#This Row],[Age]]&lt;=55,"51-55",Table1[[#This Row],[Age]]&lt;=60,"56-60",Table1[[#This Row],[Age]]&lt;=66,"61-66")</f>
        <v>41-45</v>
      </c>
      <c r="O331" t="s">
        <v>1077</v>
      </c>
      <c r="P331" t="str" cm="1">
        <f t="array" ref="P331">_xlfn.IFS(Table1[[#This Row],[Company Tenure]]&lt;=5,"1-5",Table1[[#This Row],[Company Tenure]]&lt;=10,"6-10",Table1[[#This Row],[Company Tenure]]&lt;=15,"11-15",Table1[[#This Row],[Company Tenure]]&lt;=20, "15-20",Table1[[#This Row],[Company Tenure]]&gt;20,"Above 20")</f>
        <v>1-5</v>
      </c>
    </row>
    <row r="332" spans="1:16" x14ac:dyDescent="0.25">
      <c r="A332" t="s">
        <v>746</v>
      </c>
      <c r="B332" t="s">
        <v>30</v>
      </c>
      <c r="C332" t="s">
        <v>22</v>
      </c>
      <c r="D332" t="s">
        <v>23</v>
      </c>
      <c r="E332">
        <v>37</v>
      </c>
      <c r="F332" t="s">
        <v>9</v>
      </c>
      <c r="G332" t="s">
        <v>37</v>
      </c>
      <c r="H332" s="2">
        <v>99448.735000000001</v>
      </c>
      <c r="I332" s="1">
        <v>43254</v>
      </c>
      <c r="J332" s="3">
        <v>8</v>
      </c>
      <c r="K332" t="s">
        <v>548</v>
      </c>
      <c r="L332" t="s">
        <v>19</v>
      </c>
      <c r="M332">
        <v>3</v>
      </c>
      <c r="N332" t="str" cm="1">
        <f t="array" ref="N332">_xlfn.IFS(AND(24&lt;=Table1[[#This Row],[Age]],Table1[[#This Row],[Age]]&lt;=30),"24-30",Table1[[#This Row],[Age]]&lt;=35,"31-35",Table1[[#This Row],[Age]]&lt;=40,"36-40",Table1[[#This Row],[Age]]&lt;=45,"41-45",Table1[[#This Row],[Age]]&lt;=50,"46-50",Table1[[#This Row],[Age]]&lt;=55,"51-55",Table1[[#This Row],[Age]]&lt;=60,"56-60",Table1[[#This Row],[Age]]&lt;=66,"61-66")</f>
        <v>36-40</v>
      </c>
      <c r="O332" t="s">
        <v>1077</v>
      </c>
      <c r="P332" t="str" cm="1">
        <f t="array" ref="P332">_xlfn.IFS(Table1[[#This Row],[Company Tenure]]&lt;=5,"1-5",Table1[[#This Row],[Company Tenure]]&lt;=10,"6-10",Table1[[#This Row],[Company Tenure]]&lt;=15,"11-15",Table1[[#This Row],[Company Tenure]]&lt;=20, "15-20",Table1[[#This Row],[Company Tenure]]&gt;20,"Above 20")</f>
        <v>6-10</v>
      </c>
    </row>
    <row r="333" spans="1:16" x14ac:dyDescent="0.25">
      <c r="A333" t="s">
        <v>747</v>
      </c>
      <c r="B333" t="s">
        <v>127</v>
      </c>
      <c r="C333" t="s">
        <v>80</v>
      </c>
      <c r="D333" t="s">
        <v>8</v>
      </c>
      <c r="E333">
        <v>51</v>
      </c>
      <c r="F333" t="s">
        <v>181</v>
      </c>
      <c r="G333" t="s">
        <v>37</v>
      </c>
      <c r="H333" s="2">
        <v>58853</v>
      </c>
      <c r="I333" s="1">
        <v>40101</v>
      </c>
      <c r="J333" s="3">
        <v>16</v>
      </c>
      <c r="K333" t="s">
        <v>748</v>
      </c>
      <c r="L333" t="s">
        <v>39</v>
      </c>
      <c r="M333">
        <v>2</v>
      </c>
      <c r="N333" t="str" cm="1">
        <f t="array" ref="N333">_xlfn.IFS(AND(24&lt;=Table1[[#This Row],[Age]],Table1[[#This Row],[Age]]&lt;=30),"24-30",Table1[[#This Row],[Age]]&lt;=35,"31-35",Table1[[#This Row],[Age]]&lt;=40,"36-40",Table1[[#This Row],[Age]]&lt;=45,"41-45",Table1[[#This Row],[Age]]&lt;=50,"46-50",Table1[[#This Row],[Age]]&lt;=55,"51-55",Table1[[#This Row],[Age]]&lt;=60,"56-60",Table1[[#This Row],[Age]]&lt;=66,"61-66")</f>
        <v>51-55</v>
      </c>
      <c r="O333" t="s">
        <v>1077</v>
      </c>
      <c r="P333" t="str" cm="1">
        <f t="array" ref="P333">_xlfn.IFS(Table1[[#This Row],[Company Tenure]]&lt;=5,"1-5",Table1[[#This Row],[Company Tenure]]&lt;=10,"6-10",Table1[[#This Row],[Company Tenure]]&lt;=15,"11-15",Table1[[#This Row],[Company Tenure]]&lt;=20, "15-20",Table1[[#This Row],[Company Tenure]]&gt;20,"Above 20")</f>
        <v>15-20</v>
      </c>
    </row>
    <row r="334" spans="1:16" x14ac:dyDescent="0.25">
      <c r="A334" t="s">
        <v>749</v>
      </c>
      <c r="B334" t="s">
        <v>16</v>
      </c>
      <c r="C334" t="s">
        <v>80</v>
      </c>
      <c r="D334" t="s">
        <v>8</v>
      </c>
      <c r="E334">
        <v>41</v>
      </c>
      <c r="F334" t="s">
        <v>313</v>
      </c>
      <c r="G334" t="s">
        <v>17</v>
      </c>
      <c r="H334" s="2">
        <v>109424</v>
      </c>
      <c r="I334" s="1">
        <v>41159</v>
      </c>
      <c r="J334" s="3">
        <v>14</v>
      </c>
      <c r="K334" t="s">
        <v>750</v>
      </c>
      <c r="L334" t="s">
        <v>25</v>
      </c>
      <c r="M334">
        <v>4</v>
      </c>
      <c r="N334" t="str" cm="1">
        <f t="array" ref="N334">_xlfn.IFS(AND(24&lt;=Table1[[#This Row],[Age]],Table1[[#This Row],[Age]]&lt;=30),"24-30",Table1[[#This Row],[Age]]&lt;=35,"31-35",Table1[[#This Row],[Age]]&lt;=40,"36-40",Table1[[#This Row],[Age]]&lt;=45,"41-45",Table1[[#This Row],[Age]]&lt;=50,"46-50",Table1[[#This Row],[Age]]&lt;=55,"51-55",Table1[[#This Row],[Age]]&lt;=60,"56-60",Table1[[#This Row],[Age]]&lt;=66,"61-66")</f>
        <v>41-45</v>
      </c>
      <c r="O334" t="s">
        <v>1074</v>
      </c>
      <c r="P334" t="str" cm="1">
        <f t="array" ref="P334">_xlfn.IFS(Table1[[#This Row],[Company Tenure]]&lt;=5,"1-5",Table1[[#This Row],[Company Tenure]]&lt;=10,"6-10",Table1[[#This Row],[Company Tenure]]&lt;=15,"11-15",Table1[[#This Row],[Company Tenure]]&lt;=20, "15-20",Table1[[#This Row],[Company Tenure]]&gt;20,"Above 20")</f>
        <v>11-15</v>
      </c>
    </row>
    <row r="335" spans="1:16" x14ac:dyDescent="0.25">
      <c r="A335" t="s">
        <v>751</v>
      </c>
      <c r="B335" t="s">
        <v>87</v>
      </c>
      <c r="C335" t="s">
        <v>80</v>
      </c>
      <c r="D335" t="s">
        <v>23</v>
      </c>
      <c r="E335">
        <v>37</v>
      </c>
      <c r="F335" t="s">
        <v>32</v>
      </c>
      <c r="G335" t="s">
        <v>2</v>
      </c>
      <c r="H335" s="2">
        <v>105764</v>
      </c>
      <c r="I335" s="1">
        <v>40364</v>
      </c>
      <c r="J335" s="3">
        <v>16</v>
      </c>
      <c r="K335" t="s">
        <v>752</v>
      </c>
      <c r="L335" t="s">
        <v>207</v>
      </c>
      <c r="M335">
        <v>4</v>
      </c>
      <c r="N335" t="str" cm="1">
        <f t="array" ref="N335">_xlfn.IFS(AND(24&lt;=Table1[[#This Row],[Age]],Table1[[#This Row],[Age]]&lt;=30),"24-30",Table1[[#This Row],[Age]]&lt;=35,"31-35",Table1[[#This Row],[Age]]&lt;=40,"36-40",Table1[[#This Row],[Age]]&lt;=45,"41-45",Table1[[#This Row],[Age]]&lt;=50,"46-50",Table1[[#This Row],[Age]]&lt;=55,"51-55",Table1[[#This Row],[Age]]&lt;=60,"56-60",Table1[[#This Row],[Age]]&lt;=66,"61-66")</f>
        <v>36-40</v>
      </c>
      <c r="O335" t="s">
        <v>1074</v>
      </c>
      <c r="P335" t="str" cm="1">
        <f t="array" ref="P335">_xlfn.IFS(Table1[[#This Row],[Company Tenure]]&lt;=5,"1-5",Table1[[#This Row],[Company Tenure]]&lt;=10,"6-10",Table1[[#This Row],[Company Tenure]]&lt;=15,"11-15",Table1[[#This Row],[Company Tenure]]&lt;=20, "15-20",Table1[[#This Row],[Company Tenure]]&gt;20,"Above 20")</f>
        <v>15-20</v>
      </c>
    </row>
    <row r="336" spans="1:16" x14ac:dyDescent="0.25">
      <c r="A336" t="s">
        <v>753</v>
      </c>
      <c r="B336" t="s">
        <v>316</v>
      </c>
      <c r="C336" t="s">
        <v>263</v>
      </c>
      <c r="D336" t="s">
        <v>8</v>
      </c>
      <c r="E336">
        <v>51</v>
      </c>
      <c r="F336" t="s">
        <v>133</v>
      </c>
      <c r="G336" t="s">
        <v>17</v>
      </c>
      <c r="H336" s="2">
        <v>59100</v>
      </c>
      <c r="I336" s="1">
        <v>38960</v>
      </c>
      <c r="J336" s="3">
        <v>20</v>
      </c>
      <c r="K336" t="s">
        <v>754</v>
      </c>
      <c r="L336" t="s">
        <v>207</v>
      </c>
      <c r="M336">
        <v>3</v>
      </c>
      <c r="N336" t="str" cm="1">
        <f t="array" ref="N336">_xlfn.IFS(AND(24&lt;=Table1[[#This Row],[Age]],Table1[[#This Row],[Age]]&lt;=30),"24-30",Table1[[#This Row],[Age]]&lt;=35,"31-35",Table1[[#This Row],[Age]]&lt;=40,"36-40",Table1[[#This Row],[Age]]&lt;=45,"41-45",Table1[[#This Row],[Age]]&lt;=50,"46-50",Table1[[#This Row],[Age]]&lt;=55,"51-55",Table1[[#This Row],[Age]]&lt;=60,"56-60",Table1[[#This Row],[Age]]&lt;=66,"61-66")</f>
        <v>51-55</v>
      </c>
      <c r="O336" t="s">
        <v>1077</v>
      </c>
      <c r="P336" t="str" cm="1">
        <f t="array" ref="P336">_xlfn.IFS(Table1[[#This Row],[Company Tenure]]&lt;=5,"1-5",Table1[[#This Row],[Company Tenure]]&lt;=10,"6-10",Table1[[#This Row],[Company Tenure]]&lt;=15,"11-15",Table1[[#This Row],[Company Tenure]]&lt;=20, "15-20",Table1[[#This Row],[Company Tenure]]&gt;20,"Above 20")</f>
        <v>15-20</v>
      </c>
    </row>
    <row r="337" spans="1:16" x14ac:dyDescent="0.25">
      <c r="A337" t="s">
        <v>755</v>
      </c>
      <c r="B337" t="s">
        <v>115</v>
      </c>
      <c r="C337" t="s">
        <v>308</v>
      </c>
      <c r="D337" t="s">
        <v>8</v>
      </c>
      <c r="E337">
        <v>30</v>
      </c>
      <c r="F337" t="s">
        <v>142</v>
      </c>
      <c r="G337" t="s">
        <v>63</v>
      </c>
      <c r="H337" s="2">
        <v>60466</v>
      </c>
      <c r="I337" s="1">
        <v>45604</v>
      </c>
      <c r="J337" s="3">
        <v>1</v>
      </c>
      <c r="K337" t="s">
        <v>581</v>
      </c>
      <c r="L337" t="s">
        <v>54</v>
      </c>
      <c r="M337">
        <v>3</v>
      </c>
      <c r="N337" t="str" cm="1">
        <f t="array" ref="N337">_xlfn.IFS(AND(24&lt;=Table1[[#This Row],[Age]],Table1[[#This Row],[Age]]&lt;=30),"24-30",Table1[[#This Row],[Age]]&lt;=35,"31-35",Table1[[#This Row],[Age]]&lt;=40,"36-40",Table1[[#This Row],[Age]]&lt;=45,"41-45",Table1[[#This Row],[Age]]&lt;=50,"46-50",Table1[[#This Row],[Age]]&lt;=55,"51-55",Table1[[#This Row],[Age]]&lt;=60,"56-60",Table1[[#This Row],[Age]]&lt;=66,"61-66")</f>
        <v>24-30</v>
      </c>
      <c r="O337" t="s">
        <v>1077</v>
      </c>
      <c r="P337" t="str" cm="1">
        <f t="array" ref="P337">_xlfn.IFS(Table1[[#This Row],[Company Tenure]]&lt;=5,"1-5",Table1[[#This Row],[Company Tenure]]&lt;=10,"6-10",Table1[[#This Row],[Company Tenure]]&lt;=15,"11-15",Table1[[#This Row],[Company Tenure]]&lt;=20, "15-20",Table1[[#This Row],[Company Tenure]]&gt;20,"Above 20")</f>
        <v>1-5</v>
      </c>
    </row>
    <row r="338" spans="1:16" x14ac:dyDescent="0.25">
      <c r="A338" t="s">
        <v>756</v>
      </c>
      <c r="B338" t="s">
        <v>47</v>
      </c>
      <c r="C338" t="s">
        <v>166</v>
      </c>
      <c r="D338" t="s">
        <v>1</v>
      </c>
      <c r="E338">
        <v>34</v>
      </c>
      <c r="F338" t="s">
        <v>154</v>
      </c>
      <c r="G338" t="s">
        <v>44</v>
      </c>
      <c r="H338" s="2">
        <v>39847.53</v>
      </c>
      <c r="I338" s="1">
        <v>41742</v>
      </c>
      <c r="J338" s="3">
        <v>12</v>
      </c>
      <c r="K338" t="s">
        <v>757</v>
      </c>
      <c r="L338" t="s">
        <v>107</v>
      </c>
      <c r="M338">
        <v>3</v>
      </c>
      <c r="N338" t="str" cm="1">
        <f t="array" ref="N338">_xlfn.IFS(AND(24&lt;=Table1[[#This Row],[Age]],Table1[[#This Row],[Age]]&lt;=30),"24-30",Table1[[#This Row],[Age]]&lt;=35,"31-35",Table1[[#This Row],[Age]]&lt;=40,"36-40",Table1[[#This Row],[Age]]&lt;=45,"41-45",Table1[[#This Row],[Age]]&lt;=50,"46-50",Table1[[#This Row],[Age]]&lt;=55,"51-55",Table1[[#This Row],[Age]]&lt;=60,"56-60",Table1[[#This Row],[Age]]&lt;=66,"61-66")</f>
        <v>31-35</v>
      </c>
      <c r="O338" t="s">
        <v>1076</v>
      </c>
      <c r="P338" t="str" cm="1">
        <f t="array" ref="P338">_xlfn.IFS(Table1[[#This Row],[Company Tenure]]&lt;=5,"1-5",Table1[[#This Row],[Company Tenure]]&lt;=10,"6-10",Table1[[#This Row],[Company Tenure]]&lt;=15,"11-15",Table1[[#This Row],[Company Tenure]]&lt;=20, "15-20",Table1[[#This Row],[Company Tenure]]&gt;20,"Above 20")</f>
        <v>11-15</v>
      </c>
    </row>
    <row r="339" spans="1:16" x14ac:dyDescent="0.25">
      <c r="A339" t="s">
        <v>758</v>
      </c>
      <c r="B339" t="s">
        <v>624</v>
      </c>
      <c r="C339" t="s">
        <v>291</v>
      </c>
      <c r="D339" t="s">
        <v>1</v>
      </c>
      <c r="E339">
        <v>59</v>
      </c>
      <c r="F339" t="s">
        <v>32</v>
      </c>
      <c r="G339" t="s">
        <v>105</v>
      </c>
      <c r="H339" s="2">
        <v>125555.04</v>
      </c>
      <c r="I339" s="1">
        <v>39114</v>
      </c>
      <c r="J339" s="3">
        <v>19</v>
      </c>
      <c r="K339" t="s">
        <v>759</v>
      </c>
      <c r="L339" t="s">
        <v>207</v>
      </c>
      <c r="M339">
        <v>4</v>
      </c>
      <c r="N339" t="str" cm="1">
        <f t="array" ref="N339">_xlfn.IFS(AND(24&lt;=Table1[[#This Row],[Age]],Table1[[#This Row],[Age]]&lt;=30),"24-30",Table1[[#This Row],[Age]]&lt;=35,"31-35",Table1[[#This Row],[Age]]&lt;=40,"36-40",Table1[[#This Row],[Age]]&lt;=45,"41-45",Table1[[#This Row],[Age]]&lt;=50,"46-50",Table1[[#This Row],[Age]]&lt;=55,"51-55",Table1[[#This Row],[Age]]&lt;=60,"56-60",Table1[[#This Row],[Age]]&lt;=66,"61-66")</f>
        <v>56-60</v>
      </c>
      <c r="O339" t="s">
        <v>1074</v>
      </c>
      <c r="P339" t="str" cm="1">
        <f t="array" ref="P339">_xlfn.IFS(Table1[[#This Row],[Company Tenure]]&lt;=5,"1-5",Table1[[#This Row],[Company Tenure]]&lt;=10,"6-10",Table1[[#This Row],[Company Tenure]]&lt;=15,"11-15",Table1[[#This Row],[Company Tenure]]&lt;=20, "15-20",Table1[[#This Row],[Company Tenure]]&gt;20,"Above 20")</f>
        <v>15-20</v>
      </c>
    </row>
    <row r="340" spans="1:16" x14ac:dyDescent="0.25">
      <c r="A340" t="s">
        <v>760</v>
      </c>
      <c r="B340" t="s">
        <v>624</v>
      </c>
      <c r="C340" t="s">
        <v>215</v>
      </c>
      <c r="D340" t="s">
        <v>8</v>
      </c>
      <c r="E340">
        <v>49</v>
      </c>
      <c r="F340" t="s">
        <v>36</v>
      </c>
      <c r="G340" t="s">
        <v>100</v>
      </c>
      <c r="H340" s="2">
        <v>79105.425000000003</v>
      </c>
      <c r="I340" s="1">
        <v>40503</v>
      </c>
      <c r="J340" s="3">
        <v>15</v>
      </c>
      <c r="K340" t="s">
        <v>761</v>
      </c>
      <c r="L340" t="s">
        <v>11</v>
      </c>
      <c r="M340">
        <v>3</v>
      </c>
      <c r="N340" t="str" cm="1">
        <f t="array" ref="N340">_xlfn.IFS(AND(24&lt;=Table1[[#This Row],[Age]],Table1[[#This Row],[Age]]&lt;=30),"24-30",Table1[[#This Row],[Age]]&lt;=35,"31-35",Table1[[#This Row],[Age]]&lt;=40,"36-40",Table1[[#This Row],[Age]]&lt;=45,"41-45",Table1[[#This Row],[Age]]&lt;=50,"46-50",Table1[[#This Row],[Age]]&lt;=55,"51-55",Table1[[#This Row],[Age]]&lt;=60,"56-60",Table1[[#This Row],[Age]]&lt;=66,"61-66")</f>
        <v>46-50</v>
      </c>
      <c r="O340" t="s">
        <v>1077</v>
      </c>
      <c r="P340" t="str" cm="1">
        <f t="array" ref="P340">_xlfn.IFS(Table1[[#This Row],[Company Tenure]]&lt;=5,"1-5",Table1[[#This Row],[Company Tenure]]&lt;=10,"6-10",Table1[[#This Row],[Company Tenure]]&lt;=15,"11-15",Table1[[#This Row],[Company Tenure]]&lt;=20, "15-20",Table1[[#This Row],[Company Tenure]]&gt;20,"Above 20")</f>
        <v>11-15</v>
      </c>
    </row>
    <row r="341" spans="1:16" x14ac:dyDescent="0.25">
      <c r="A341" t="s">
        <v>762</v>
      </c>
      <c r="B341" t="s">
        <v>56</v>
      </c>
      <c r="C341" t="s">
        <v>138</v>
      </c>
      <c r="D341" t="s">
        <v>1</v>
      </c>
      <c r="E341">
        <v>34</v>
      </c>
      <c r="F341" t="s">
        <v>181</v>
      </c>
      <c r="G341" t="s">
        <v>2</v>
      </c>
      <c r="H341" s="2">
        <v>74897</v>
      </c>
      <c r="I341" s="1">
        <v>42072</v>
      </c>
      <c r="J341" s="3">
        <v>11</v>
      </c>
      <c r="K341" t="s">
        <v>763</v>
      </c>
      <c r="L341" t="s">
        <v>11</v>
      </c>
      <c r="M341">
        <v>4</v>
      </c>
      <c r="N341" t="str" cm="1">
        <f t="array" ref="N341">_xlfn.IFS(AND(24&lt;=Table1[[#This Row],[Age]],Table1[[#This Row],[Age]]&lt;=30),"24-30",Table1[[#This Row],[Age]]&lt;=35,"31-35",Table1[[#This Row],[Age]]&lt;=40,"36-40",Table1[[#This Row],[Age]]&lt;=45,"41-45",Table1[[#This Row],[Age]]&lt;=50,"46-50",Table1[[#This Row],[Age]]&lt;=55,"51-55",Table1[[#This Row],[Age]]&lt;=60,"56-60",Table1[[#This Row],[Age]]&lt;=66,"61-66")</f>
        <v>31-35</v>
      </c>
      <c r="O341" t="s">
        <v>1077</v>
      </c>
      <c r="P341" t="str" cm="1">
        <f t="array" ref="P341">_xlfn.IFS(Table1[[#This Row],[Company Tenure]]&lt;=5,"1-5",Table1[[#This Row],[Company Tenure]]&lt;=10,"6-10",Table1[[#This Row],[Company Tenure]]&lt;=15,"11-15",Table1[[#This Row],[Company Tenure]]&lt;=20, "15-20",Table1[[#This Row],[Company Tenure]]&gt;20,"Above 20")</f>
        <v>11-15</v>
      </c>
    </row>
    <row r="342" spans="1:16" x14ac:dyDescent="0.25">
      <c r="A342" t="s">
        <v>764</v>
      </c>
      <c r="B342" t="s">
        <v>94</v>
      </c>
      <c r="C342" t="s">
        <v>88</v>
      </c>
      <c r="D342" t="s">
        <v>1</v>
      </c>
      <c r="E342">
        <v>47</v>
      </c>
      <c r="F342" t="s">
        <v>142</v>
      </c>
      <c r="G342" t="s">
        <v>44</v>
      </c>
      <c r="H342" s="2">
        <v>57119</v>
      </c>
      <c r="I342" s="1">
        <v>39657</v>
      </c>
      <c r="J342" s="3">
        <v>18</v>
      </c>
      <c r="K342" t="s">
        <v>765</v>
      </c>
      <c r="L342" t="s">
        <v>11</v>
      </c>
      <c r="M342">
        <v>4</v>
      </c>
      <c r="N342" t="str" cm="1">
        <f t="array" ref="N342">_xlfn.IFS(AND(24&lt;=Table1[[#This Row],[Age]],Table1[[#This Row],[Age]]&lt;=30),"24-30",Table1[[#This Row],[Age]]&lt;=35,"31-35",Table1[[#This Row],[Age]]&lt;=40,"36-40",Table1[[#This Row],[Age]]&lt;=45,"41-45",Table1[[#This Row],[Age]]&lt;=50,"46-50",Table1[[#This Row],[Age]]&lt;=55,"51-55",Table1[[#This Row],[Age]]&lt;=60,"56-60",Table1[[#This Row],[Age]]&lt;=66,"61-66")</f>
        <v>46-50</v>
      </c>
      <c r="O342" t="s">
        <v>1077</v>
      </c>
      <c r="P342" t="str" cm="1">
        <f t="array" ref="P342">_xlfn.IFS(Table1[[#This Row],[Company Tenure]]&lt;=5,"1-5",Table1[[#This Row],[Company Tenure]]&lt;=10,"6-10",Table1[[#This Row],[Company Tenure]]&lt;=15,"11-15",Table1[[#This Row],[Company Tenure]]&lt;=20, "15-20",Table1[[#This Row],[Company Tenure]]&gt;20,"Above 20")</f>
        <v>15-20</v>
      </c>
    </row>
    <row r="343" spans="1:16" x14ac:dyDescent="0.25">
      <c r="A343" t="s">
        <v>766</v>
      </c>
      <c r="B343" t="s">
        <v>476</v>
      </c>
      <c r="C343" t="s">
        <v>35</v>
      </c>
      <c r="D343" t="s">
        <v>8</v>
      </c>
      <c r="E343">
        <v>41</v>
      </c>
      <c r="F343" t="s">
        <v>154</v>
      </c>
      <c r="G343" t="s">
        <v>17</v>
      </c>
      <c r="H343" s="2">
        <v>39695</v>
      </c>
      <c r="I343" s="1">
        <v>41355</v>
      </c>
      <c r="J343" s="3">
        <v>13</v>
      </c>
      <c r="K343" t="s">
        <v>767</v>
      </c>
      <c r="L343" t="s">
        <v>4</v>
      </c>
      <c r="M343">
        <v>3</v>
      </c>
      <c r="N343" t="str" cm="1">
        <f t="array" ref="N343">_xlfn.IFS(AND(24&lt;=Table1[[#This Row],[Age]],Table1[[#This Row],[Age]]&lt;=30),"24-30",Table1[[#This Row],[Age]]&lt;=35,"31-35",Table1[[#This Row],[Age]]&lt;=40,"36-40",Table1[[#This Row],[Age]]&lt;=45,"41-45",Table1[[#This Row],[Age]]&lt;=50,"46-50",Table1[[#This Row],[Age]]&lt;=55,"51-55",Table1[[#This Row],[Age]]&lt;=60,"56-60",Table1[[#This Row],[Age]]&lt;=66,"61-66")</f>
        <v>41-45</v>
      </c>
      <c r="O343" t="s">
        <v>1076</v>
      </c>
      <c r="P343" t="str" cm="1">
        <f t="array" ref="P343">_xlfn.IFS(Table1[[#This Row],[Company Tenure]]&lt;=5,"1-5",Table1[[#This Row],[Company Tenure]]&lt;=10,"6-10",Table1[[#This Row],[Company Tenure]]&lt;=15,"11-15",Table1[[#This Row],[Company Tenure]]&lt;=20, "15-20",Table1[[#This Row],[Company Tenure]]&gt;20,"Above 20")</f>
        <v>11-15</v>
      </c>
    </row>
    <row r="344" spans="1:16" x14ac:dyDescent="0.25">
      <c r="A344" t="s">
        <v>768</v>
      </c>
      <c r="B344" t="s">
        <v>633</v>
      </c>
      <c r="C344" t="s">
        <v>7</v>
      </c>
      <c r="D344" t="s">
        <v>1</v>
      </c>
      <c r="E344">
        <v>53</v>
      </c>
      <c r="F344" t="s">
        <v>203</v>
      </c>
      <c r="G344" t="s">
        <v>44</v>
      </c>
      <c r="H344" s="2">
        <v>45617</v>
      </c>
      <c r="I344" s="1">
        <v>39453</v>
      </c>
      <c r="J344" s="3">
        <v>18</v>
      </c>
      <c r="K344" t="s">
        <v>769</v>
      </c>
      <c r="L344" t="s">
        <v>19</v>
      </c>
      <c r="M344">
        <v>3</v>
      </c>
      <c r="N344" t="str" cm="1">
        <f t="array" ref="N344">_xlfn.IFS(AND(24&lt;=Table1[[#This Row],[Age]],Table1[[#This Row],[Age]]&lt;=30),"24-30",Table1[[#This Row],[Age]]&lt;=35,"31-35",Table1[[#This Row],[Age]]&lt;=40,"36-40",Table1[[#This Row],[Age]]&lt;=45,"41-45",Table1[[#This Row],[Age]]&lt;=50,"46-50",Table1[[#This Row],[Age]]&lt;=55,"51-55",Table1[[#This Row],[Age]]&lt;=60,"56-60",Table1[[#This Row],[Age]]&lt;=66,"61-66")</f>
        <v>51-55</v>
      </c>
      <c r="O344" t="s">
        <v>1076</v>
      </c>
      <c r="P344" t="str" cm="1">
        <f t="array" ref="P344">_xlfn.IFS(Table1[[#This Row],[Company Tenure]]&lt;=5,"1-5",Table1[[#This Row],[Company Tenure]]&lt;=10,"6-10",Table1[[#This Row],[Company Tenure]]&lt;=15,"11-15",Table1[[#This Row],[Company Tenure]]&lt;=20, "15-20",Table1[[#This Row],[Company Tenure]]&gt;20,"Above 20")</f>
        <v>15-20</v>
      </c>
    </row>
    <row r="345" spans="1:16" x14ac:dyDescent="0.25">
      <c r="A345" t="s">
        <v>770</v>
      </c>
      <c r="B345" t="s">
        <v>115</v>
      </c>
      <c r="C345" t="s">
        <v>452</v>
      </c>
      <c r="D345" t="s">
        <v>1</v>
      </c>
      <c r="E345">
        <v>44</v>
      </c>
      <c r="F345" t="s">
        <v>142</v>
      </c>
      <c r="G345" t="s">
        <v>63</v>
      </c>
      <c r="H345" s="2">
        <v>64737</v>
      </c>
      <c r="I345" s="1">
        <v>42261</v>
      </c>
      <c r="J345" s="3">
        <v>11</v>
      </c>
      <c r="K345" t="s">
        <v>771</v>
      </c>
      <c r="L345" t="s">
        <v>28</v>
      </c>
      <c r="M345">
        <v>5</v>
      </c>
      <c r="N345" t="str" cm="1">
        <f t="array" ref="N345">_xlfn.IFS(AND(24&lt;=Table1[[#This Row],[Age]],Table1[[#This Row],[Age]]&lt;=30),"24-30",Table1[[#This Row],[Age]]&lt;=35,"31-35",Table1[[#This Row],[Age]]&lt;=40,"36-40",Table1[[#This Row],[Age]]&lt;=45,"41-45",Table1[[#This Row],[Age]]&lt;=50,"46-50",Table1[[#This Row],[Age]]&lt;=55,"51-55",Table1[[#This Row],[Age]]&lt;=60,"56-60",Table1[[#This Row],[Age]]&lt;=66,"61-66")</f>
        <v>41-45</v>
      </c>
      <c r="O345" t="s">
        <v>1077</v>
      </c>
      <c r="P345" t="str" cm="1">
        <f t="array" ref="P345">_xlfn.IFS(Table1[[#This Row],[Company Tenure]]&lt;=5,"1-5",Table1[[#This Row],[Company Tenure]]&lt;=10,"6-10",Table1[[#This Row],[Company Tenure]]&lt;=15,"11-15",Table1[[#This Row],[Company Tenure]]&lt;=20, "15-20",Table1[[#This Row],[Company Tenure]]&gt;20,"Above 20")</f>
        <v>11-15</v>
      </c>
    </row>
    <row r="346" spans="1:16" x14ac:dyDescent="0.25">
      <c r="A346" t="s">
        <v>772</v>
      </c>
      <c r="B346" t="s">
        <v>16</v>
      </c>
      <c r="C346" t="s">
        <v>169</v>
      </c>
      <c r="D346" t="s">
        <v>1</v>
      </c>
      <c r="E346">
        <v>52</v>
      </c>
      <c r="F346" t="s">
        <v>295</v>
      </c>
      <c r="G346" t="s">
        <v>2</v>
      </c>
      <c r="H346" s="2">
        <v>112323</v>
      </c>
      <c r="I346" s="1">
        <v>43175</v>
      </c>
      <c r="J346" s="3">
        <v>8</v>
      </c>
      <c r="K346" t="s">
        <v>280</v>
      </c>
      <c r="L346" t="s">
        <v>49</v>
      </c>
      <c r="M346">
        <v>3</v>
      </c>
      <c r="N346" t="str" cm="1">
        <f t="array" ref="N346">_xlfn.IFS(AND(24&lt;=Table1[[#This Row],[Age]],Table1[[#This Row],[Age]]&lt;=30),"24-30",Table1[[#This Row],[Age]]&lt;=35,"31-35",Table1[[#This Row],[Age]]&lt;=40,"36-40",Table1[[#This Row],[Age]]&lt;=45,"41-45",Table1[[#This Row],[Age]]&lt;=50,"46-50",Table1[[#This Row],[Age]]&lt;=55,"51-55",Table1[[#This Row],[Age]]&lt;=60,"56-60",Table1[[#This Row],[Age]]&lt;=66,"61-66")</f>
        <v>51-55</v>
      </c>
      <c r="O346" t="s">
        <v>1074</v>
      </c>
      <c r="P346" t="str" cm="1">
        <f t="array" ref="P346">_xlfn.IFS(Table1[[#This Row],[Company Tenure]]&lt;=5,"1-5",Table1[[#This Row],[Company Tenure]]&lt;=10,"6-10",Table1[[#This Row],[Company Tenure]]&lt;=15,"11-15",Table1[[#This Row],[Company Tenure]]&lt;=20, "15-20",Table1[[#This Row],[Company Tenure]]&gt;20,"Above 20")</f>
        <v>6-10</v>
      </c>
    </row>
    <row r="347" spans="1:16" x14ac:dyDescent="0.25">
      <c r="A347" t="s">
        <v>773</v>
      </c>
      <c r="B347" t="s">
        <v>87</v>
      </c>
      <c r="C347" t="s">
        <v>59</v>
      </c>
      <c r="D347" t="s">
        <v>8</v>
      </c>
      <c r="E347">
        <v>47</v>
      </c>
      <c r="F347" t="s">
        <v>36</v>
      </c>
      <c r="G347" t="s">
        <v>63</v>
      </c>
      <c r="H347" s="2">
        <v>89767</v>
      </c>
      <c r="I347" s="1">
        <v>39352</v>
      </c>
      <c r="J347" s="3">
        <v>19</v>
      </c>
      <c r="K347" t="s">
        <v>774</v>
      </c>
      <c r="L347" t="s">
        <v>85</v>
      </c>
      <c r="M347">
        <v>4</v>
      </c>
      <c r="N347" t="str" cm="1">
        <f t="array" ref="N347">_xlfn.IFS(AND(24&lt;=Table1[[#This Row],[Age]],Table1[[#This Row],[Age]]&lt;=30),"24-30",Table1[[#This Row],[Age]]&lt;=35,"31-35",Table1[[#This Row],[Age]]&lt;=40,"36-40",Table1[[#This Row],[Age]]&lt;=45,"41-45",Table1[[#This Row],[Age]]&lt;=50,"46-50",Table1[[#This Row],[Age]]&lt;=55,"51-55",Table1[[#This Row],[Age]]&lt;=60,"56-60",Table1[[#This Row],[Age]]&lt;=66,"61-66")</f>
        <v>46-50</v>
      </c>
      <c r="O347" t="s">
        <v>1077</v>
      </c>
      <c r="P347" t="str" cm="1">
        <f t="array" ref="P347">_xlfn.IFS(Table1[[#This Row],[Company Tenure]]&lt;=5,"1-5",Table1[[#This Row],[Company Tenure]]&lt;=10,"6-10",Table1[[#This Row],[Company Tenure]]&lt;=15,"11-15",Table1[[#This Row],[Company Tenure]]&lt;=20, "15-20",Table1[[#This Row],[Company Tenure]]&gt;20,"Above 20")</f>
        <v>15-20</v>
      </c>
    </row>
    <row r="348" spans="1:16" x14ac:dyDescent="0.25">
      <c r="A348" t="s">
        <v>775</v>
      </c>
      <c r="B348" t="s">
        <v>30</v>
      </c>
      <c r="C348" t="s">
        <v>68</v>
      </c>
      <c r="D348" t="s">
        <v>23</v>
      </c>
      <c r="E348">
        <v>46</v>
      </c>
      <c r="F348" t="s">
        <v>32</v>
      </c>
      <c r="G348" t="s">
        <v>105</v>
      </c>
      <c r="H348" s="2">
        <v>119523.56</v>
      </c>
      <c r="I348" s="1">
        <v>39007</v>
      </c>
      <c r="J348" s="3">
        <v>19</v>
      </c>
      <c r="K348" t="s">
        <v>776</v>
      </c>
      <c r="L348" t="s">
        <v>54</v>
      </c>
      <c r="M348">
        <v>4</v>
      </c>
      <c r="N348" t="str" cm="1">
        <f t="array" ref="N348">_xlfn.IFS(AND(24&lt;=Table1[[#This Row],[Age]],Table1[[#This Row],[Age]]&lt;=30),"24-30",Table1[[#This Row],[Age]]&lt;=35,"31-35",Table1[[#This Row],[Age]]&lt;=40,"36-40",Table1[[#This Row],[Age]]&lt;=45,"41-45",Table1[[#This Row],[Age]]&lt;=50,"46-50",Table1[[#This Row],[Age]]&lt;=55,"51-55",Table1[[#This Row],[Age]]&lt;=60,"56-60",Table1[[#This Row],[Age]]&lt;=66,"61-66")</f>
        <v>46-50</v>
      </c>
      <c r="O348" t="s">
        <v>1074</v>
      </c>
      <c r="P348" t="str" cm="1">
        <f t="array" ref="P348">_xlfn.IFS(Table1[[#This Row],[Company Tenure]]&lt;=5,"1-5",Table1[[#This Row],[Company Tenure]]&lt;=10,"6-10",Table1[[#This Row],[Company Tenure]]&lt;=15,"11-15",Table1[[#This Row],[Company Tenure]]&lt;=20, "15-20",Table1[[#This Row],[Company Tenure]]&gt;20,"Above 20")</f>
        <v>15-20</v>
      </c>
    </row>
    <row r="349" spans="1:16" x14ac:dyDescent="0.25">
      <c r="A349" t="s">
        <v>777</v>
      </c>
      <c r="B349" t="s">
        <v>43</v>
      </c>
      <c r="C349" t="s">
        <v>7</v>
      </c>
      <c r="D349" t="s">
        <v>8</v>
      </c>
      <c r="E349">
        <v>48</v>
      </c>
      <c r="F349" t="s">
        <v>1066</v>
      </c>
      <c r="G349" t="s">
        <v>105</v>
      </c>
      <c r="H349" s="2">
        <v>129536</v>
      </c>
      <c r="I349" s="1">
        <v>39376</v>
      </c>
      <c r="J349" s="3">
        <v>18</v>
      </c>
      <c r="K349" t="s">
        <v>778</v>
      </c>
      <c r="L349" t="s">
        <v>49</v>
      </c>
      <c r="M349">
        <v>1</v>
      </c>
      <c r="N349" t="str" cm="1">
        <f t="array" ref="N349">_xlfn.IFS(AND(24&lt;=Table1[[#This Row],[Age]],Table1[[#This Row],[Age]]&lt;=30),"24-30",Table1[[#This Row],[Age]]&lt;=35,"31-35",Table1[[#This Row],[Age]]&lt;=40,"36-40",Table1[[#This Row],[Age]]&lt;=45,"41-45",Table1[[#This Row],[Age]]&lt;=50,"46-50",Table1[[#This Row],[Age]]&lt;=55,"51-55",Table1[[#This Row],[Age]]&lt;=60,"56-60",Table1[[#This Row],[Age]]&lt;=66,"61-66")</f>
        <v>46-50</v>
      </c>
      <c r="O349" t="s">
        <v>1074</v>
      </c>
      <c r="P349" t="str" cm="1">
        <f t="array" ref="P349">_xlfn.IFS(Table1[[#This Row],[Company Tenure]]&lt;=5,"1-5",Table1[[#This Row],[Company Tenure]]&lt;=10,"6-10",Table1[[#This Row],[Company Tenure]]&lt;=15,"11-15",Table1[[#This Row],[Company Tenure]]&lt;=20, "15-20",Table1[[#This Row],[Company Tenure]]&gt;20,"Above 20")</f>
        <v>15-20</v>
      </c>
    </row>
    <row r="350" spans="1:16" x14ac:dyDescent="0.25">
      <c r="A350" t="s">
        <v>779</v>
      </c>
      <c r="B350" t="s">
        <v>633</v>
      </c>
      <c r="C350" t="s">
        <v>153</v>
      </c>
      <c r="D350" t="s">
        <v>23</v>
      </c>
      <c r="E350">
        <v>30</v>
      </c>
      <c r="F350" t="s">
        <v>181</v>
      </c>
      <c r="G350" t="s">
        <v>44</v>
      </c>
      <c r="H350" s="2">
        <v>58564.75</v>
      </c>
      <c r="I350" s="1" t="s">
        <v>1059</v>
      </c>
      <c r="J350" s="3" t="s">
        <v>1059</v>
      </c>
      <c r="K350" t="s">
        <v>780</v>
      </c>
      <c r="L350" t="s">
        <v>120</v>
      </c>
      <c r="M350">
        <v>3</v>
      </c>
      <c r="N350" t="str" cm="1">
        <f t="array" ref="N350">_xlfn.IFS(AND(24&lt;=Table1[[#This Row],[Age]],Table1[[#This Row],[Age]]&lt;=30),"24-30",Table1[[#This Row],[Age]]&lt;=35,"31-35",Table1[[#This Row],[Age]]&lt;=40,"36-40",Table1[[#This Row],[Age]]&lt;=45,"41-45",Table1[[#This Row],[Age]]&lt;=50,"46-50",Table1[[#This Row],[Age]]&lt;=55,"51-55",Table1[[#This Row],[Age]]&lt;=60,"56-60",Table1[[#This Row],[Age]]&lt;=66,"61-66")</f>
        <v>24-30</v>
      </c>
      <c r="O350" t="s">
        <v>1077</v>
      </c>
      <c r="P350" t="str" cm="1">
        <f t="array" ref="P350">_xlfn.IFS(Table1[[#This Row],[Company Tenure]]&lt;=5,"1-5",Table1[[#This Row],[Company Tenure]]&lt;=10,"6-10",Table1[[#This Row],[Company Tenure]]&lt;=15,"11-15",Table1[[#This Row],[Company Tenure]]&lt;=20, "15-20",Table1[[#This Row],[Company Tenure]]&gt;20,"Above 20")</f>
        <v>Above 20</v>
      </c>
    </row>
    <row r="351" spans="1:16" x14ac:dyDescent="0.25">
      <c r="A351" t="s">
        <v>781</v>
      </c>
      <c r="B351" t="s">
        <v>624</v>
      </c>
      <c r="C351" t="s">
        <v>291</v>
      </c>
      <c r="D351" t="s">
        <v>23</v>
      </c>
      <c r="E351">
        <v>44</v>
      </c>
      <c r="F351" t="s">
        <v>9</v>
      </c>
      <c r="G351" t="s">
        <v>44</v>
      </c>
      <c r="H351" s="2">
        <v>87174</v>
      </c>
      <c r="I351" s="1">
        <v>39373</v>
      </c>
      <c r="J351" s="3">
        <v>18</v>
      </c>
      <c r="K351" t="s">
        <v>759</v>
      </c>
      <c r="L351" t="s">
        <v>4</v>
      </c>
      <c r="M351">
        <v>3</v>
      </c>
      <c r="N351" t="str" cm="1">
        <f t="array" ref="N351">_xlfn.IFS(AND(24&lt;=Table1[[#This Row],[Age]],Table1[[#This Row],[Age]]&lt;=30),"24-30",Table1[[#This Row],[Age]]&lt;=35,"31-35",Table1[[#This Row],[Age]]&lt;=40,"36-40",Table1[[#This Row],[Age]]&lt;=45,"41-45",Table1[[#This Row],[Age]]&lt;=50,"46-50",Table1[[#This Row],[Age]]&lt;=55,"51-55",Table1[[#This Row],[Age]]&lt;=60,"56-60",Table1[[#This Row],[Age]]&lt;=66,"61-66")</f>
        <v>41-45</v>
      </c>
      <c r="O351" t="s">
        <v>1077</v>
      </c>
      <c r="P351" t="str" cm="1">
        <f t="array" ref="P351">_xlfn.IFS(Table1[[#This Row],[Company Tenure]]&lt;=5,"1-5",Table1[[#This Row],[Company Tenure]]&lt;=10,"6-10",Table1[[#This Row],[Company Tenure]]&lt;=15,"11-15",Table1[[#This Row],[Company Tenure]]&lt;=20, "15-20",Table1[[#This Row],[Company Tenure]]&gt;20,"Above 20")</f>
        <v>15-20</v>
      </c>
    </row>
    <row r="352" spans="1:16" x14ac:dyDescent="0.25">
      <c r="A352" t="s">
        <v>782</v>
      </c>
      <c r="B352" t="s">
        <v>232</v>
      </c>
      <c r="C352" t="s">
        <v>22</v>
      </c>
      <c r="D352" t="s">
        <v>23</v>
      </c>
      <c r="E352">
        <v>42</v>
      </c>
      <c r="F352" t="s">
        <v>295</v>
      </c>
      <c r="G352" t="s">
        <v>44</v>
      </c>
      <c r="H352" s="2">
        <v>65732</v>
      </c>
      <c r="I352" s="1">
        <v>44383</v>
      </c>
      <c r="J352" s="3">
        <v>5</v>
      </c>
      <c r="K352" t="s">
        <v>783</v>
      </c>
      <c r="L352" t="s">
        <v>107</v>
      </c>
      <c r="M352">
        <v>4</v>
      </c>
      <c r="N352" t="str" cm="1">
        <f t="array" ref="N352">_xlfn.IFS(AND(24&lt;=Table1[[#This Row],[Age]],Table1[[#This Row],[Age]]&lt;=30),"24-30",Table1[[#This Row],[Age]]&lt;=35,"31-35",Table1[[#This Row],[Age]]&lt;=40,"36-40",Table1[[#This Row],[Age]]&lt;=45,"41-45",Table1[[#This Row],[Age]]&lt;=50,"46-50",Table1[[#This Row],[Age]]&lt;=55,"51-55",Table1[[#This Row],[Age]]&lt;=60,"56-60",Table1[[#This Row],[Age]]&lt;=66,"61-66")</f>
        <v>41-45</v>
      </c>
      <c r="O352" t="s">
        <v>1077</v>
      </c>
      <c r="P352" t="str" cm="1">
        <f t="array" ref="P352">_xlfn.IFS(Table1[[#This Row],[Company Tenure]]&lt;=5,"1-5",Table1[[#This Row],[Company Tenure]]&lt;=10,"6-10",Table1[[#This Row],[Company Tenure]]&lt;=15,"11-15",Table1[[#This Row],[Company Tenure]]&lt;=20, "15-20",Table1[[#This Row],[Company Tenure]]&gt;20,"Above 20")</f>
        <v>1-5</v>
      </c>
    </row>
    <row r="353" spans="1:16" x14ac:dyDescent="0.25">
      <c r="A353" t="s">
        <v>784</v>
      </c>
      <c r="B353" t="s">
        <v>530</v>
      </c>
      <c r="C353" t="s">
        <v>16</v>
      </c>
      <c r="D353" t="s">
        <v>1</v>
      </c>
      <c r="E353">
        <v>37</v>
      </c>
      <c r="F353" t="s">
        <v>1066</v>
      </c>
      <c r="G353" t="s">
        <v>17</v>
      </c>
      <c r="H353" s="2">
        <v>57039</v>
      </c>
      <c r="I353" s="1" t="s">
        <v>1059</v>
      </c>
      <c r="J353" s="3" t="s">
        <v>1059</v>
      </c>
      <c r="K353" t="s">
        <v>785</v>
      </c>
      <c r="L353" t="s">
        <v>54</v>
      </c>
      <c r="M353">
        <v>4</v>
      </c>
      <c r="N353" t="str" cm="1">
        <f t="array" ref="N353">_xlfn.IFS(AND(24&lt;=Table1[[#This Row],[Age]],Table1[[#This Row],[Age]]&lt;=30),"24-30",Table1[[#This Row],[Age]]&lt;=35,"31-35",Table1[[#This Row],[Age]]&lt;=40,"36-40",Table1[[#This Row],[Age]]&lt;=45,"41-45",Table1[[#This Row],[Age]]&lt;=50,"46-50",Table1[[#This Row],[Age]]&lt;=55,"51-55",Table1[[#This Row],[Age]]&lt;=60,"56-60",Table1[[#This Row],[Age]]&lt;=66,"61-66")</f>
        <v>36-40</v>
      </c>
      <c r="O353" t="s">
        <v>1077</v>
      </c>
      <c r="P353" t="str" cm="1">
        <f t="array" ref="P353">_xlfn.IFS(Table1[[#This Row],[Company Tenure]]&lt;=5,"1-5",Table1[[#This Row],[Company Tenure]]&lt;=10,"6-10",Table1[[#This Row],[Company Tenure]]&lt;=15,"11-15",Table1[[#This Row],[Company Tenure]]&lt;=20, "15-20",Table1[[#This Row],[Company Tenure]]&gt;20,"Above 20")</f>
        <v>Above 20</v>
      </c>
    </row>
    <row r="354" spans="1:16" x14ac:dyDescent="0.25">
      <c r="A354" t="s">
        <v>786</v>
      </c>
      <c r="B354" t="s">
        <v>334</v>
      </c>
      <c r="C354" t="s">
        <v>169</v>
      </c>
      <c r="D354" t="s">
        <v>8</v>
      </c>
      <c r="E354">
        <v>42</v>
      </c>
      <c r="F354" t="s">
        <v>133</v>
      </c>
      <c r="G354" t="s">
        <v>44</v>
      </c>
      <c r="H354" s="2">
        <v>65976</v>
      </c>
      <c r="I354" s="1">
        <v>38779</v>
      </c>
      <c r="J354" s="3">
        <v>20</v>
      </c>
      <c r="K354" t="s">
        <v>787</v>
      </c>
      <c r="L354" t="s">
        <v>54</v>
      </c>
      <c r="M354">
        <v>5</v>
      </c>
      <c r="N354" t="str" cm="1">
        <f t="array" ref="N354">_xlfn.IFS(AND(24&lt;=Table1[[#This Row],[Age]],Table1[[#This Row],[Age]]&lt;=30),"24-30",Table1[[#This Row],[Age]]&lt;=35,"31-35",Table1[[#This Row],[Age]]&lt;=40,"36-40",Table1[[#This Row],[Age]]&lt;=45,"41-45",Table1[[#This Row],[Age]]&lt;=50,"46-50",Table1[[#This Row],[Age]]&lt;=55,"51-55",Table1[[#This Row],[Age]]&lt;=60,"56-60",Table1[[#This Row],[Age]]&lt;=66,"61-66")</f>
        <v>41-45</v>
      </c>
      <c r="O354" t="s">
        <v>1077</v>
      </c>
      <c r="P354" t="str" cm="1">
        <f t="array" ref="P354">_xlfn.IFS(Table1[[#This Row],[Company Tenure]]&lt;=5,"1-5",Table1[[#This Row],[Company Tenure]]&lt;=10,"6-10",Table1[[#This Row],[Company Tenure]]&lt;=15,"11-15",Table1[[#This Row],[Company Tenure]]&lt;=20, "15-20",Table1[[#This Row],[Company Tenure]]&gt;20,"Above 20")</f>
        <v>15-20</v>
      </c>
    </row>
    <row r="355" spans="1:16" x14ac:dyDescent="0.25">
      <c r="A355" t="s">
        <v>788</v>
      </c>
      <c r="B355" t="s">
        <v>232</v>
      </c>
      <c r="C355" t="s">
        <v>35</v>
      </c>
      <c r="D355" t="s">
        <v>23</v>
      </c>
      <c r="E355">
        <v>33</v>
      </c>
      <c r="F355" t="s">
        <v>9</v>
      </c>
      <c r="G355" t="s">
        <v>17</v>
      </c>
      <c r="H355" s="2">
        <v>87815.32</v>
      </c>
      <c r="I355" s="1">
        <v>41976</v>
      </c>
      <c r="J355" s="3">
        <v>11</v>
      </c>
      <c r="K355" t="s">
        <v>789</v>
      </c>
      <c r="L355" t="s">
        <v>54</v>
      </c>
      <c r="M355">
        <v>3</v>
      </c>
      <c r="N355" t="str" cm="1">
        <f t="array" ref="N355">_xlfn.IFS(AND(24&lt;=Table1[[#This Row],[Age]],Table1[[#This Row],[Age]]&lt;=30),"24-30",Table1[[#This Row],[Age]]&lt;=35,"31-35",Table1[[#This Row],[Age]]&lt;=40,"36-40",Table1[[#This Row],[Age]]&lt;=45,"41-45",Table1[[#This Row],[Age]]&lt;=50,"46-50",Table1[[#This Row],[Age]]&lt;=55,"51-55",Table1[[#This Row],[Age]]&lt;=60,"56-60",Table1[[#This Row],[Age]]&lt;=66,"61-66")</f>
        <v>31-35</v>
      </c>
      <c r="O355" t="s">
        <v>1077</v>
      </c>
      <c r="P355" t="str" cm="1">
        <f t="array" ref="P355">_xlfn.IFS(Table1[[#This Row],[Company Tenure]]&lt;=5,"1-5",Table1[[#This Row],[Company Tenure]]&lt;=10,"6-10",Table1[[#This Row],[Company Tenure]]&lt;=15,"11-15",Table1[[#This Row],[Company Tenure]]&lt;=20, "15-20",Table1[[#This Row],[Company Tenure]]&gt;20,"Above 20")</f>
        <v>11-15</v>
      </c>
    </row>
    <row r="356" spans="1:16" x14ac:dyDescent="0.25">
      <c r="A356" t="s">
        <v>790</v>
      </c>
      <c r="B356" t="s">
        <v>378</v>
      </c>
      <c r="C356" t="s">
        <v>59</v>
      </c>
      <c r="D356" t="s">
        <v>23</v>
      </c>
      <c r="E356">
        <v>46</v>
      </c>
      <c r="F356" t="s">
        <v>142</v>
      </c>
      <c r="G356" t="s">
        <v>100</v>
      </c>
      <c r="H356" s="2">
        <v>55997</v>
      </c>
      <c r="I356" s="1">
        <v>44034</v>
      </c>
      <c r="J356" s="3">
        <v>6</v>
      </c>
      <c r="K356" t="s">
        <v>791</v>
      </c>
      <c r="L356" t="s">
        <v>65</v>
      </c>
      <c r="M356">
        <v>4</v>
      </c>
      <c r="N356" t="str" cm="1">
        <f t="array" ref="N356">_xlfn.IFS(AND(24&lt;=Table1[[#This Row],[Age]],Table1[[#This Row],[Age]]&lt;=30),"24-30",Table1[[#This Row],[Age]]&lt;=35,"31-35",Table1[[#This Row],[Age]]&lt;=40,"36-40",Table1[[#This Row],[Age]]&lt;=45,"41-45",Table1[[#This Row],[Age]]&lt;=50,"46-50",Table1[[#This Row],[Age]]&lt;=55,"51-55",Table1[[#This Row],[Age]]&lt;=60,"56-60",Table1[[#This Row],[Age]]&lt;=66,"61-66")</f>
        <v>46-50</v>
      </c>
      <c r="O356" t="s">
        <v>1077</v>
      </c>
      <c r="P356" t="str" cm="1">
        <f t="array" ref="P356">_xlfn.IFS(Table1[[#This Row],[Company Tenure]]&lt;=5,"1-5",Table1[[#This Row],[Company Tenure]]&lt;=10,"6-10",Table1[[#This Row],[Company Tenure]]&lt;=15,"11-15",Table1[[#This Row],[Company Tenure]]&lt;=20, "15-20",Table1[[#This Row],[Company Tenure]]&gt;20,"Above 20")</f>
        <v>6-10</v>
      </c>
    </row>
    <row r="357" spans="1:16" x14ac:dyDescent="0.25">
      <c r="A357" t="s">
        <v>792</v>
      </c>
      <c r="B357" t="s">
        <v>451</v>
      </c>
      <c r="C357" t="s">
        <v>215</v>
      </c>
      <c r="D357" t="s">
        <v>8</v>
      </c>
      <c r="E357">
        <v>50</v>
      </c>
      <c r="F357" t="s">
        <v>9</v>
      </c>
      <c r="G357" t="s">
        <v>2</v>
      </c>
      <c r="H357" s="2">
        <v>119403</v>
      </c>
      <c r="I357" s="1">
        <v>39940</v>
      </c>
      <c r="J357" s="3">
        <v>17</v>
      </c>
      <c r="K357" t="s">
        <v>793</v>
      </c>
      <c r="L357" t="s">
        <v>65</v>
      </c>
      <c r="M357">
        <v>3</v>
      </c>
      <c r="N357" t="str" cm="1">
        <f t="array" ref="N357">_xlfn.IFS(AND(24&lt;=Table1[[#This Row],[Age]],Table1[[#This Row],[Age]]&lt;=30),"24-30",Table1[[#This Row],[Age]]&lt;=35,"31-35",Table1[[#This Row],[Age]]&lt;=40,"36-40",Table1[[#This Row],[Age]]&lt;=45,"41-45",Table1[[#This Row],[Age]]&lt;=50,"46-50",Table1[[#This Row],[Age]]&lt;=55,"51-55",Table1[[#This Row],[Age]]&lt;=60,"56-60",Table1[[#This Row],[Age]]&lt;=66,"61-66")</f>
        <v>46-50</v>
      </c>
      <c r="O357" t="s">
        <v>1074</v>
      </c>
      <c r="P357" t="str" cm="1">
        <f t="array" ref="P357">_xlfn.IFS(Table1[[#This Row],[Company Tenure]]&lt;=5,"1-5",Table1[[#This Row],[Company Tenure]]&lt;=10,"6-10",Table1[[#This Row],[Company Tenure]]&lt;=15,"11-15",Table1[[#This Row],[Company Tenure]]&lt;=20, "15-20",Table1[[#This Row],[Company Tenure]]&gt;20,"Above 20")</f>
        <v>15-20</v>
      </c>
    </row>
    <row r="358" spans="1:16" x14ac:dyDescent="0.25">
      <c r="A358" t="s">
        <v>794</v>
      </c>
      <c r="B358" t="s">
        <v>229</v>
      </c>
      <c r="C358" t="s">
        <v>356</v>
      </c>
      <c r="D358" t="s">
        <v>1</v>
      </c>
      <c r="E358">
        <v>35</v>
      </c>
      <c r="F358" t="s">
        <v>32</v>
      </c>
      <c r="G358" t="s">
        <v>2</v>
      </c>
      <c r="H358" s="2">
        <v>113616</v>
      </c>
      <c r="I358" s="1">
        <v>43632</v>
      </c>
      <c r="J358" s="3">
        <v>7</v>
      </c>
      <c r="K358" t="s">
        <v>795</v>
      </c>
      <c r="L358" t="s">
        <v>25</v>
      </c>
      <c r="M358">
        <v>3</v>
      </c>
      <c r="N358" t="str" cm="1">
        <f t="array" ref="N358">_xlfn.IFS(AND(24&lt;=Table1[[#This Row],[Age]],Table1[[#This Row],[Age]]&lt;=30),"24-30",Table1[[#This Row],[Age]]&lt;=35,"31-35",Table1[[#This Row],[Age]]&lt;=40,"36-40",Table1[[#This Row],[Age]]&lt;=45,"41-45",Table1[[#This Row],[Age]]&lt;=50,"46-50",Table1[[#This Row],[Age]]&lt;=55,"51-55",Table1[[#This Row],[Age]]&lt;=60,"56-60",Table1[[#This Row],[Age]]&lt;=66,"61-66")</f>
        <v>31-35</v>
      </c>
      <c r="O358" t="s">
        <v>1074</v>
      </c>
      <c r="P358" t="str" cm="1">
        <f t="array" ref="P358">_xlfn.IFS(Table1[[#This Row],[Company Tenure]]&lt;=5,"1-5",Table1[[#This Row],[Company Tenure]]&lt;=10,"6-10",Table1[[#This Row],[Company Tenure]]&lt;=15,"11-15",Table1[[#This Row],[Company Tenure]]&lt;=20, "15-20",Table1[[#This Row],[Company Tenure]]&gt;20,"Above 20")</f>
        <v>6-10</v>
      </c>
    </row>
    <row r="359" spans="1:16" x14ac:dyDescent="0.25">
      <c r="A359" t="s">
        <v>796</v>
      </c>
      <c r="B359" t="s">
        <v>73</v>
      </c>
      <c r="C359" t="s">
        <v>141</v>
      </c>
      <c r="D359" t="s">
        <v>23</v>
      </c>
      <c r="E359">
        <v>48</v>
      </c>
      <c r="F359" t="s">
        <v>133</v>
      </c>
      <c r="G359" t="s">
        <v>17</v>
      </c>
      <c r="H359" s="2">
        <v>56054</v>
      </c>
      <c r="I359" s="1" t="s">
        <v>1059</v>
      </c>
      <c r="J359" s="3" t="s">
        <v>1059</v>
      </c>
      <c r="K359" t="s">
        <v>797</v>
      </c>
      <c r="L359" t="s">
        <v>4</v>
      </c>
      <c r="M359">
        <v>4</v>
      </c>
      <c r="N359" t="str" cm="1">
        <f t="array" ref="N359">_xlfn.IFS(AND(24&lt;=Table1[[#This Row],[Age]],Table1[[#This Row],[Age]]&lt;=30),"24-30",Table1[[#This Row],[Age]]&lt;=35,"31-35",Table1[[#This Row],[Age]]&lt;=40,"36-40",Table1[[#This Row],[Age]]&lt;=45,"41-45",Table1[[#This Row],[Age]]&lt;=50,"46-50",Table1[[#This Row],[Age]]&lt;=55,"51-55",Table1[[#This Row],[Age]]&lt;=60,"56-60",Table1[[#This Row],[Age]]&lt;=66,"61-66")</f>
        <v>46-50</v>
      </c>
      <c r="O359" t="s">
        <v>1077</v>
      </c>
      <c r="P359" t="str" cm="1">
        <f t="array" ref="P359">_xlfn.IFS(Table1[[#This Row],[Company Tenure]]&lt;=5,"1-5",Table1[[#This Row],[Company Tenure]]&lt;=10,"6-10",Table1[[#This Row],[Company Tenure]]&lt;=15,"11-15",Table1[[#This Row],[Company Tenure]]&lt;=20, "15-20",Table1[[#This Row],[Company Tenure]]&gt;20,"Above 20")</f>
        <v>Above 20</v>
      </c>
    </row>
    <row r="360" spans="1:16" x14ac:dyDescent="0.25">
      <c r="A360" t="s">
        <v>798</v>
      </c>
      <c r="B360" t="s">
        <v>30</v>
      </c>
      <c r="C360" t="s">
        <v>799</v>
      </c>
      <c r="D360" t="s">
        <v>8</v>
      </c>
      <c r="E360">
        <v>52</v>
      </c>
      <c r="F360" t="s">
        <v>142</v>
      </c>
      <c r="G360" t="s">
        <v>44</v>
      </c>
      <c r="H360" s="2">
        <v>57411</v>
      </c>
      <c r="I360" s="1">
        <v>40768</v>
      </c>
      <c r="J360" s="3">
        <v>15</v>
      </c>
      <c r="K360" t="s">
        <v>800</v>
      </c>
      <c r="L360" t="s">
        <v>85</v>
      </c>
      <c r="M360">
        <v>3</v>
      </c>
      <c r="N360" t="str" cm="1">
        <f t="array" ref="N360">_xlfn.IFS(AND(24&lt;=Table1[[#This Row],[Age]],Table1[[#This Row],[Age]]&lt;=30),"24-30",Table1[[#This Row],[Age]]&lt;=35,"31-35",Table1[[#This Row],[Age]]&lt;=40,"36-40",Table1[[#This Row],[Age]]&lt;=45,"41-45",Table1[[#This Row],[Age]]&lt;=50,"46-50",Table1[[#This Row],[Age]]&lt;=55,"51-55",Table1[[#This Row],[Age]]&lt;=60,"56-60",Table1[[#This Row],[Age]]&lt;=66,"61-66")</f>
        <v>51-55</v>
      </c>
      <c r="O360" t="s">
        <v>1077</v>
      </c>
      <c r="P360" t="str" cm="1">
        <f t="array" ref="P360">_xlfn.IFS(Table1[[#This Row],[Company Tenure]]&lt;=5,"1-5",Table1[[#This Row],[Company Tenure]]&lt;=10,"6-10",Table1[[#This Row],[Company Tenure]]&lt;=15,"11-15",Table1[[#This Row],[Company Tenure]]&lt;=20, "15-20",Table1[[#This Row],[Company Tenure]]&gt;20,"Above 20")</f>
        <v>11-15</v>
      </c>
    </row>
    <row r="361" spans="1:16" x14ac:dyDescent="0.25">
      <c r="A361" t="s">
        <v>801</v>
      </c>
      <c r="B361" t="s">
        <v>469</v>
      </c>
      <c r="C361" t="s">
        <v>215</v>
      </c>
      <c r="D361" t="s">
        <v>23</v>
      </c>
      <c r="E361">
        <v>36</v>
      </c>
      <c r="F361" t="s">
        <v>32</v>
      </c>
      <c r="G361" t="s">
        <v>100</v>
      </c>
      <c r="H361" s="2">
        <v>66115</v>
      </c>
      <c r="I361" s="1">
        <v>40557</v>
      </c>
      <c r="J361" s="3">
        <v>15</v>
      </c>
      <c r="K361" t="s">
        <v>159</v>
      </c>
      <c r="L361" t="s">
        <v>49</v>
      </c>
      <c r="M361">
        <v>4</v>
      </c>
      <c r="N361" t="str" cm="1">
        <f t="array" ref="N361">_xlfn.IFS(AND(24&lt;=Table1[[#This Row],[Age]],Table1[[#This Row],[Age]]&lt;=30),"24-30",Table1[[#This Row],[Age]]&lt;=35,"31-35",Table1[[#This Row],[Age]]&lt;=40,"36-40",Table1[[#This Row],[Age]]&lt;=45,"41-45",Table1[[#This Row],[Age]]&lt;=50,"46-50",Table1[[#This Row],[Age]]&lt;=55,"51-55",Table1[[#This Row],[Age]]&lt;=60,"56-60",Table1[[#This Row],[Age]]&lt;=66,"61-66")</f>
        <v>36-40</v>
      </c>
      <c r="O361" t="s">
        <v>1077</v>
      </c>
      <c r="P361" t="str" cm="1">
        <f t="array" ref="P361">_xlfn.IFS(Table1[[#This Row],[Company Tenure]]&lt;=5,"1-5",Table1[[#This Row],[Company Tenure]]&lt;=10,"6-10",Table1[[#This Row],[Company Tenure]]&lt;=15,"11-15",Table1[[#This Row],[Company Tenure]]&lt;=20, "15-20",Table1[[#This Row],[Company Tenure]]&gt;20,"Above 20")</f>
        <v>11-15</v>
      </c>
    </row>
    <row r="362" spans="1:16" x14ac:dyDescent="0.25">
      <c r="A362" t="s">
        <v>802</v>
      </c>
      <c r="B362" t="s">
        <v>103</v>
      </c>
      <c r="C362" t="s">
        <v>59</v>
      </c>
      <c r="D362" t="s">
        <v>1</v>
      </c>
      <c r="E362">
        <v>63</v>
      </c>
      <c r="F362" t="s">
        <v>36</v>
      </c>
      <c r="G362" t="s">
        <v>63</v>
      </c>
      <c r="H362" s="2">
        <v>99305</v>
      </c>
      <c r="I362" s="1">
        <v>38572</v>
      </c>
      <c r="J362" s="3">
        <v>21</v>
      </c>
      <c r="K362" t="s">
        <v>803</v>
      </c>
      <c r="L362" t="s">
        <v>85</v>
      </c>
      <c r="M362">
        <v>4</v>
      </c>
      <c r="N362" t="str" cm="1">
        <f t="array" ref="N362">_xlfn.IFS(AND(24&lt;=Table1[[#This Row],[Age]],Table1[[#This Row],[Age]]&lt;=30),"24-30",Table1[[#This Row],[Age]]&lt;=35,"31-35",Table1[[#This Row],[Age]]&lt;=40,"36-40",Table1[[#This Row],[Age]]&lt;=45,"41-45",Table1[[#This Row],[Age]]&lt;=50,"46-50",Table1[[#This Row],[Age]]&lt;=55,"51-55",Table1[[#This Row],[Age]]&lt;=60,"56-60",Table1[[#This Row],[Age]]&lt;=66,"61-66")</f>
        <v>61-66</v>
      </c>
      <c r="O362" t="s">
        <v>1077</v>
      </c>
      <c r="P362" t="str" cm="1">
        <f t="array" ref="P362">_xlfn.IFS(Table1[[#This Row],[Company Tenure]]&lt;=5,"1-5",Table1[[#This Row],[Company Tenure]]&lt;=10,"6-10",Table1[[#This Row],[Company Tenure]]&lt;=15,"11-15",Table1[[#This Row],[Company Tenure]]&lt;=20, "15-20",Table1[[#This Row],[Company Tenure]]&gt;20,"Above 20")</f>
        <v>Above 20</v>
      </c>
    </row>
    <row r="363" spans="1:16" x14ac:dyDescent="0.25">
      <c r="A363" t="s">
        <v>804</v>
      </c>
      <c r="B363" t="s">
        <v>633</v>
      </c>
      <c r="C363" t="s">
        <v>169</v>
      </c>
      <c r="D363" t="s">
        <v>1</v>
      </c>
      <c r="E363">
        <v>29</v>
      </c>
      <c r="F363" t="s">
        <v>32</v>
      </c>
      <c r="G363" t="s">
        <v>37</v>
      </c>
      <c r="H363" s="2">
        <v>93717</v>
      </c>
      <c r="I363" s="1">
        <v>43776</v>
      </c>
      <c r="J363" s="3">
        <v>6</v>
      </c>
      <c r="K363" t="s">
        <v>805</v>
      </c>
      <c r="L363" t="s">
        <v>207</v>
      </c>
      <c r="M363">
        <v>1</v>
      </c>
      <c r="N363" t="str" cm="1">
        <f t="array" ref="N363">_xlfn.IFS(AND(24&lt;=Table1[[#This Row],[Age]],Table1[[#This Row],[Age]]&lt;=30),"24-30",Table1[[#This Row],[Age]]&lt;=35,"31-35",Table1[[#This Row],[Age]]&lt;=40,"36-40",Table1[[#This Row],[Age]]&lt;=45,"41-45",Table1[[#This Row],[Age]]&lt;=50,"46-50",Table1[[#This Row],[Age]]&lt;=55,"51-55",Table1[[#This Row],[Age]]&lt;=60,"56-60",Table1[[#This Row],[Age]]&lt;=66,"61-66")</f>
        <v>24-30</v>
      </c>
      <c r="O363" t="s">
        <v>1077</v>
      </c>
      <c r="P363" t="str" cm="1">
        <f t="array" ref="P363">_xlfn.IFS(Table1[[#This Row],[Company Tenure]]&lt;=5,"1-5",Table1[[#This Row],[Company Tenure]]&lt;=10,"6-10",Table1[[#This Row],[Company Tenure]]&lt;=15,"11-15",Table1[[#This Row],[Company Tenure]]&lt;=20, "15-20",Table1[[#This Row],[Company Tenure]]&gt;20,"Above 20")</f>
        <v>6-10</v>
      </c>
    </row>
    <row r="364" spans="1:16" x14ac:dyDescent="0.25">
      <c r="A364" t="s">
        <v>806</v>
      </c>
      <c r="B364" t="s">
        <v>115</v>
      </c>
      <c r="C364" t="s">
        <v>138</v>
      </c>
      <c r="D364" t="s">
        <v>1</v>
      </c>
      <c r="E364">
        <v>31</v>
      </c>
      <c r="F364" t="s">
        <v>36</v>
      </c>
      <c r="G364" t="s">
        <v>17</v>
      </c>
      <c r="H364" s="2">
        <v>83848</v>
      </c>
      <c r="I364" s="1">
        <v>43444</v>
      </c>
      <c r="J364" s="3">
        <v>7</v>
      </c>
      <c r="K364" t="s">
        <v>807</v>
      </c>
      <c r="L364" t="s">
        <v>11</v>
      </c>
      <c r="M364">
        <v>5</v>
      </c>
      <c r="N364" t="str" cm="1">
        <f t="array" ref="N364">_xlfn.IFS(AND(24&lt;=Table1[[#This Row],[Age]],Table1[[#This Row],[Age]]&lt;=30),"24-30",Table1[[#This Row],[Age]]&lt;=35,"31-35",Table1[[#This Row],[Age]]&lt;=40,"36-40",Table1[[#This Row],[Age]]&lt;=45,"41-45",Table1[[#This Row],[Age]]&lt;=50,"46-50",Table1[[#This Row],[Age]]&lt;=55,"51-55",Table1[[#This Row],[Age]]&lt;=60,"56-60",Table1[[#This Row],[Age]]&lt;=66,"61-66")</f>
        <v>31-35</v>
      </c>
      <c r="O364" t="s">
        <v>1077</v>
      </c>
      <c r="P364" t="str" cm="1">
        <f t="array" ref="P364">_xlfn.IFS(Table1[[#This Row],[Company Tenure]]&lt;=5,"1-5",Table1[[#This Row],[Company Tenure]]&lt;=10,"6-10",Table1[[#This Row],[Company Tenure]]&lt;=15,"11-15",Table1[[#This Row],[Company Tenure]]&lt;=20, "15-20",Table1[[#This Row],[Company Tenure]]&gt;20,"Above 20")</f>
        <v>6-10</v>
      </c>
    </row>
    <row r="365" spans="1:16" x14ac:dyDescent="0.25">
      <c r="A365" t="s">
        <v>808</v>
      </c>
      <c r="B365" t="s">
        <v>16</v>
      </c>
      <c r="C365" t="s">
        <v>80</v>
      </c>
      <c r="D365" t="s">
        <v>8</v>
      </c>
      <c r="E365">
        <v>43</v>
      </c>
      <c r="F365" t="s">
        <v>36</v>
      </c>
      <c r="G365" t="s">
        <v>17</v>
      </c>
      <c r="H365" s="2">
        <v>97337</v>
      </c>
      <c r="I365" s="1">
        <v>42899</v>
      </c>
      <c r="J365" s="3">
        <v>9</v>
      </c>
      <c r="K365" t="s">
        <v>750</v>
      </c>
      <c r="L365" t="s">
        <v>19</v>
      </c>
      <c r="M365">
        <v>4</v>
      </c>
      <c r="N365" t="str" cm="1">
        <f t="array" ref="N365">_xlfn.IFS(AND(24&lt;=Table1[[#This Row],[Age]],Table1[[#This Row],[Age]]&lt;=30),"24-30",Table1[[#This Row],[Age]]&lt;=35,"31-35",Table1[[#This Row],[Age]]&lt;=40,"36-40",Table1[[#This Row],[Age]]&lt;=45,"41-45",Table1[[#This Row],[Age]]&lt;=50,"46-50",Table1[[#This Row],[Age]]&lt;=55,"51-55",Table1[[#This Row],[Age]]&lt;=60,"56-60",Table1[[#This Row],[Age]]&lt;=66,"61-66")</f>
        <v>41-45</v>
      </c>
      <c r="O365" t="s">
        <v>1077</v>
      </c>
      <c r="P365" t="str" cm="1">
        <f t="array" ref="P365">_xlfn.IFS(Table1[[#This Row],[Company Tenure]]&lt;=5,"1-5",Table1[[#This Row],[Company Tenure]]&lt;=10,"6-10",Table1[[#This Row],[Company Tenure]]&lt;=15,"11-15",Table1[[#This Row],[Company Tenure]]&lt;=20, "15-20",Table1[[#This Row],[Company Tenure]]&gt;20,"Above 20")</f>
        <v>6-10</v>
      </c>
    </row>
    <row r="366" spans="1:16" x14ac:dyDescent="0.25">
      <c r="A366" t="s">
        <v>809</v>
      </c>
      <c r="B366" t="s">
        <v>16</v>
      </c>
      <c r="C366" t="s">
        <v>16</v>
      </c>
      <c r="D366" t="s">
        <v>23</v>
      </c>
      <c r="E366">
        <v>57</v>
      </c>
      <c r="F366" t="s">
        <v>133</v>
      </c>
      <c r="G366" t="s">
        <v>100</v>
      </c>
      <c r="H366" s="2">
        <v>52668</v>
      </c>
      <c r="I366" s="1">
        <v>39084</v>
      </c>
      <c r="J366" s="3">
        <v>19</v>
      </c>
      <c r="K366" t="s">
        <v>18</v>
      </c>
      <c r="L366" t="s">
        <v>120</v>
      </c>
      <c r="M366">
        <v>4</v>
      </c>
      <c r="N366" t="str" cm="1">
        <f t="array" ref="N366">_xlfn.IFS(AND(24&lt;=Table1[[#This Row],[Age]],Table1[[#This Row],[Age]]&lt;=30),"24-30",Table1[[#This Row],[Age]]&lt;=35,"31-35",Table1[[#This Row],[Age]]&lt;=40,"36-40",Table1[[#This Row],[Age]]&lt;=45,"41-45",Table1[[#This Row],[Age]]&lt;=50,"46-50",Table1[[#This Row],[Age]]&lt;=55,"51-55",Table1[[#This Row],[Age]]&lt;=60,"56-60",Table1[[#This Row],[Age]]&lt;=66,"61-66")</f>
        <v>56-60</v>
      </c>
      <c r="O366" t="s">
        <v>1077</v>
      </c>
      <c r="P366" t="str" cm="1">
        <f t="array" ref="P366">_xlfn.IFS(Table1[[#This Row],[Company Tenure]]&lt;=5,"1-5",Table1[[#This Row],[Company Tenure]]&lt;=10,"6-10",Table1[[#This Row],[Company Tenure]]&lt;=15,"11-15",Table1[[#This Row],[Company Tenure]]&lt;=20, "15-20",Table1[[#This Row],[Company Tenure]]&gt;20,"Above 20")</f>
        <v>15-20</v>
      </c>
    </row>
    <row r="367" spans="1:16" x14ac:dyDescent="0.25">
      <c r="A367" t="s">
        <v>810</v>
      </c>
      <c r="B367" t="s">
        <v>229</v>
      </c>
      <c r="C367" t="s">
        <v>222</v>
      </c>
      <c r="D367" t="s">
        <v>1</v>
      </c>
      <c r="E367">
        <v>41</v>
      </c>
      <c r="F367" t="s">
        <v>154</v>
      </c>
      <c r="G367" t="s">
        <v>100</v>
      </c>
      <c r="H367" s="2">
        <v>43157</v>
      </c>
      <c r="I367" s="1">
        <v>43762</v>
      </c>
      <c r="J367" s="3">
        <v>6</v>
      </c>
      <c r="K367" t="s">
        <v>811</v>
      </c>
      <c r="L367" t="s">
        <v>54</v>
      </c>
      <c r="M367">
        <v>4</v>
      </c>
      <c r="N367" t="str" cm="1">
        <f t="array" ref="N367">_xlfn.IFS(AND(24&lt;=Table1[[#This Row],[Age]],Table1[[#This Row],[Age]]&lt;=30),"24-30",Table1[[#This Row],[Age]]&lt;=35,"31-35",Table1[[#This Row],[Age]]&lt;=40,"36-40",Table1[[#This Row],[Age]]&lt;=45,"41-45",Table1[[#This Row],[Age]]&lt;=50,"46-50",Table1[[#This Row],[Age]]&lt;=55,"51-55",Table1[[#This Row],[Age]]&lt;=60,"56-60",Table1[[#This Row],[Age]]&lt;=66,"61-66")</f>
        <v>41-45</v>
      </c>
      <c r="O367" t="s">
        <v>1076</v>
      </c>
      <c r="P367" t="str" cm="1">
        <f t="array" ref="P367">_xlfn.IFS(Table1[[#This Row],[Company Tenure]]&lt;=5,"1-5",Table1[[#This Row],[Company Tenure]]&lt;=10,"6-10",Table1[[#This Row],[Company Tenure]]&lt;=15,"11-15",Table1[[#This Row],[Company Tenure]]&lt;=20, "15-20",Table1[[#This Row],[Company Tenure]]&gt;20,"Above 20")</f>
        <v>6-10</v>
      </c>
    </row>
    <row r="368" spans="1:16" x14ac:dyDescent="0.25">
      <c r="A368" t="s">
        <v>812</v>
      </c>
      <c r="B368" t="s">
        <v>378</v>
      </c>
      <c r="C368" t="s">
        <v>799</v>
      </c>
      <c r="D368" t="s">
        <v>8</v>
      </c>
      <c r="E368">
        <v>44</v>
      </c>
      <c r="F368" t="s">
        <v>142</v>
      </c>
      <c r="G368" t="s">
        <v>17</v>
      </c>
      <c r="H368" s="2">
        <v>52778</v>
      </c>
      <c r="I368" s="1">
        <v>43173</v>
      </c>
      <c r="J368" s="3">
        <v>8</v>
      </c>
      <c r="K368" t="s">
        <v>813</v>
      </c>
      <c r="L368" t="s">
        <v>19</v>
      </c>
      <c r="M368">
        <v>1</v>
      </c>
      <c r="N368" t="str" cm="1">
        <f t="array" ref="N368">_xlfn.IFS(AND(24&lt;=Table1[[#This Row],[Age]],Table1[[#This Row],[Age]]&lt;=30),"24-30",Table1[[#This Row],[Age]]&lt;=35,"31-35",Table1[[#This Row],[Age]]&lt;=40,"36-40",Table1[[#This Row],[Age]]&lt;=45,"41-45",Table1[[#This Row],[Age]]&lt;=50,"46-50",Table1[[#This Row],[Age]]&lt;=55,"51-55",Table1[[#This Row],[Age]]&lt;=60,"56-60",Table1[[#This Row],[Age]]&lt;=66,"61-66")</f>
        <v>41-45</v>
      </c>
      <c r="O368" t="s">
        <v>1077</v>
      </c>
      <c r="P368" t="str" cm="1">
        <f t="array" ref="P368">_xlfn.IFS(Table1[[#This Row],[Company Tenure]]&lt;=5,"1-5",Table1[[#This Row],[Company Tenure]]&lt;=10,"6-10",Table1[[#This Row],[Company Tenure]]&lt;=15,"11-15",Table1[[#This Row],[Company Tenure]]&lt;=20, "15-20",Table1[[#This Row],[Company Tenure]]&gt;20,"Above 20")</f>
        <v>6-10</v>
      </c>
    </row>
    <row r="369" spans="1:16" x14ac:dyDescent="0.25">
      <c r="A369" t="s">
        <v>814</v>
      </c>
      <c r="B369" t="s">
        <v>401</v>
      </c>
      <c r="C369" t="s">
        <v>35</v>
      </c>
      <c r="D369" t="s">
        <v>1</v>
      </c>
      <c r="E369">
        <v>44</v>
      </c>
      <c r="F369" t="s">
        <v>9</v>
      </c>
      <c r="G369" t="s">
        <v>17</v>
      </c>
      <c r="H369" s="2">
        <v>81723</v>
      </c>
      <c r="I369" s="1">
        <v>40017</v>
      </c>
      <c r="J369" s="3">
        <v>17</v>
      </c>
      <c r="K369" t="s">
        <v>815</v>
      </c>
      <c r="L369" t="s">
        <v>65</v>
      </c>
      <c r="M369">
        <v>3</v>
      </c>
      <c r="N369" t="str" cm="1">
        <f t="array" ref="N369">_xlfn.IFS(AND(24&lt;=Table1[[#This Row],[Age]],Table1[[#This Row],[Age]]&lt;=30),"24-30",Table1[[#This Row],[Age]]&lt;=35,"31-35",Table1[[#This Row],[Age]]&lt;=40,"36-40",Table1[[#This Row],[Age]]&lt;=45,"41-45",Table1[[#This Row],[Age]]&lt;=50,"46-50",Table1[[#This Row],[Age]]&lt;=55,"51-55",Table1[[#This Row],[Age]]&lt;=60,"56-60",Table1[[#This Row],[Age]]&lt;=66,"61-66")</f>
        <v>41-45</v>
      </c>
      <c r="O369" t="s">
        <v>1077</v>
      </c>
      <c r="P369" t="str" cm="1">
        <f t="array" ref="P369">_xlfn.IFS(Table1[[#This Row],[Company Tenure]]&lt;=5,"1-5",Table1[[#This Row],[Company Tenure]]&lt;=10,"6-10",Table1[[#This Row],[Company Tenure]]&lt;=15,"11-15",Table1[[#This Row],[Company Tenure]]&lt;=20, "15-20",Table1[[#This Row],[Company Tenure]]&gt;20,"Above 20")</f>
        <v>15-20</v>
      </c>
    </row>
    <row r="370" spans="1:16" x14ac:dyDescent="0.25">
      <c r="A370" t="s">
        <v>816</v>
      </c>
      <c r="B370" t="s">
        <v>99</v>
      </c>
      <c r="C370" t="s">
        <v>88</v>
      </c>
      <c r="D370" t="s">
        <v>1</v>
      </c>
      <c r="E370">
        <v>46</v>
      </c>
      <c r="F370" t="s">
        <v>203</v>
      </c>
      <c r="G370" t="s">
        <v>2</v>
      </c>
      <c r="H370" s="2">
        <v>77829.62</v>
      </c>
      <c r="I370" s="1">
        <v>39726</v>
      </c>
      <c r="J370" s="3">
        <v>18</v>
      </c>
      <c r="K370" t="s">
        <v>817</v>
      </c>
      <c r="L370" t="s">
        <v>39</v>
      </c>
      <c r="M370">
        <v>4</v>
      </c>
      <c r="N370" t="str" cm="1">
        <f t="array" ref="N370">_xlfn.IFS(AND(24&lt;=Table1[[#This Row],[Age]],Table1[[#This Row],[Age]]&lt;=30),"24-30",Table1[[#This Row],[Age]]&lt;=35,"31-35",Table1[[#This Row],[Age]]&lt;=40,"36-40",Table1[[#This Row],[Age]]&lt;=45,"41-45",Table1[[#This Row],[Age]]&lt;=50,"46-50",Table1[[#This Row],[Age]]&lt;=55,"51-55",Table1[[#This Row],[Age]]&lt;=60,"56-60",Table1[[#This Row],[Age]]&lt;=66,"61-66")</f>
        <v>46-50</v>
      </c>
      <c r="O370" t="s">
        <v>1077</v>
      </c>
      <c r="P370" t="str" cm="1">
        <f t="array" ref="P370">_xlfn.IFS(Table1[[#This Row],[Company Tenure]]&lt;=5,"1-5",Table1[[#This Row],[Company Tenure]]&lt;=10,"6-10",Table1[[#This Row],[Company Tenure]]&lt;=15,"11-15",Table1[[#This Row],[Company Tenure]]&lt;=20, "15-20",Table1[[#This Row],[Company Tenure]]&gt;20,"Above 20")</f>
        <v>15-20</v>
      </c>
    </row>
    <row r="371" spans="1:16" x14ac:dyDescent="0.25">
      <c r="A371" t="s">
        <v>818</v>
      </c>
      <c r="B371" t="s">
        <v>469</v>
      </c>
      <c r="C371" t="s">
        <v>394</v>
      </c>
      <c r="D371" t="s">
        <v>23</v>
      </c>
      <c r="E371">
        <v>34</v>
      </c>
      <c r="F371" t="s">
        <v>9</v>
      </c>
      <c r="G371" t="s">
        <v>100</v>
      </c>
      <c r="H371" s="2">
        <v>67784</v>
      </c>
      <c r="I371" s="1">
        <v>42475</v>
      </c>
      <c r="J371" s="3">
        <v>10</v>
      </c>
      <c r="K371" t="s">
        <v>819</v>
      </c>
      <c r="L371" t="s">
        <v>85</v>
      </c>
      <c r="M371">
        <v>3</v>
      </c>
      <c r="N371" t="str" cm="1">
        <f t="array" ref="N371">_xlfn.IFS(AND(24&lt;=Table1[[#This Row],[Age]],Table1[[#This Row],[Age]]&lt;=30),"24-30",Table1[[#This Row],[Age]]&lt;=35,"31-35",Table1[[#This Row],[Age]]&lt;=40,"36-40",Table1[[#This Row],[Age]]&lt;=45,"41-45",Table1[[#This Row],[Age]]&lt;=50,"46-50",Table1[[#This Row],[Age]]&lt;=55,"51-55",Table1[[#This Row],[Age]]&lt;=60,"56-60",Table1[[#This Row],[Age]]&lt;=66,"61-66")</f>
        <v>31-35</v>
      </c>
      <c r="O371" t="s">
        <v>1077</v>
      </c>
      <c r="P371" t="str" cm="1">
        <f t="array" ref="P371">_xlfn.IFS(Table1[[#This Row],[Company Tenure]]&lt;=5,"1-5",Table1[[#This Row],[Company Tenure]]&lt;=10,"6-10",Table1[[#This Row],[Company Tenure]]&lt;=15,"11-15",Table1[[#This Row],[Company Tenure]]&lt;=20, "15-20",Table1[[#This Row],[Company Tenure]]&gt;20,"Above 20")</f>
        <v>6-10</v>
      </c>
    </row>
    <row r="372" spans="1:16" x14ac:dyDescent="0.25">
      <c r="A372" t="s">
        <v>820</v>
      </c>
      <c r="B372" t="s">
        <v>79</v>
      </c>
      <c r="C372" t="s">
        <v>166</v>
      </c>
      <c r="D372" t="s">
        <v>1</v>
      </c>
      <c r="E372">
        <v>48</v>
      </c>
      <c r="F372" t="s">
        <v>203</v>
      </c>
      <c r="G372" t="s">
        <v>63</v>
      </c>
      <c r="H372" s="2">
        <v>60800</v>
      </c>
      <c r="I372" s="1">
        <v>42024</v>
      </c>
      <c r="J372" s="3">
        <v>11</v>
      </c>
      <c r="K372" t="s">
        <v>821</v>
      </c>
      <c r="L372" t="s">
        <v>107</v>
      </c>
      <c r="M372">
        <v>4</v>
      </c>
      <c r="N372" t="str" cm="1">
        <f t="array" ref="N372">_xlfn.IFS(AND(24&lt;=Table1[[#This Row],[Age]],Table1[[#This Row],[Age]]&lt;=30),"24-30",Table1[[#This Row],[Age]]&lt;=35,"31-35",Table1[[#This Row],[Age]]&lt;=40,"36-40",Table1[[#This Row],[Age]]&lt;=45,"41-45",Table1[[#This Row],[Age]]&lt;=50,"46-50",Table1[[#This Row],[Age]]&lt;=55,"51-55",Table1[[#This Row],[Age]]&lt;=60,"56-60",Table1[[#This Row],[Age]]&lt;=66,"61-66")</f>
        <v>46-50</v>
      </c>
      <c r="O372" t="s">
        <v>1077</v>
      </c>
      <c r="P372" t="str" cm="1">
        <f t="array" ref="P372">_xlfn.IFS(Table1[[#This Row],[Company Tenure]]&lt;=5,"1-5",Table1[[#This Row],[Company Tenure]]&lt;=10,"6-10",Table1[[#This Row],[Company Tenure]]&lt;=15,"11-15",Table1[[#This Row],[Company Tenure]]&lt;=20, "15-20",Table1[[#This Row],[Company Tenure]]&gt;20,"Above 20")</f>
        <v>11-15</v>
      </c>
    </row>
    <row r="373" spans="1:16" x14ac:dyDescent="0.25">
      <c r="A373" t="s">
        <v>822</v>
      </c>
      <c r="B373" t="s">
        <v>184</v>
      </c>
      <c r="C373" t="s">
        <v>269</v>
      </c>
      <c r="D373" t="s">
        <v>1</v>
      </c>
      <c r="E373">
        <v>37</v>
      </c>
      <c r="F373" t="s">
        <v>36</v>
      </c>
      <c r="G373" t="s">
        <v>17</v>
      </c>
      <c r="H373" s="2">
        <v>88286</v>
      </c>
      <c r="I373" s="1">
        <v>42566</v>
      </c>
      <c r="J373" s="3">
        <v>10</v>
      </c>
      <c r="K373" t="s">
        <v>823</v>
      </c>
      <c r="L373" t="s">
        <v>65</v>
      </c>
      <c r="M373">
        <v>5</v>
      </c>
      <c r="N373" t="str" cm="1">
        <f t="array" ref="N373">_xlfn.IFS(AND(24&lt;=Table1[[#This Row],[Age]],Table1[[#This Row],[Age]]&lt;=30),"24-30",Table1[[#This Row],[Age]]&lt;=35,"31-35",Table1[[#This Row],[Age]]&lt;=40,"36-40",Table1[[#This Row],[Age]]&lt;=45,"41-45",Table1[[#This Row],[Age]]&lt;=50,"46-50",Table1[[#This Row],[Age]]&lt;=55,"51-55",Table1[[#This Row],[Age]]&lt;=60,"56-60",Table1[[#This Row],[Age]]&lt;=66,"61-66")</f>
        <v>36-40</v>
      </c>
      <c r="O373" t="s">
        <v>1077</v>
      </c>
      <c r="P373" t="str" cm="1">
        <f t="array" ref="P373">_xlfn.IFS(Table1[[#This Row],[Company Tenure]]&lt;=5,"1-5",Table1[[#This Row],[Company Tenure]]&lt;=10,"6-10",Table1[[#This Row],[Company Tenure]]&lt;=15,"11-15",Table1[[#This Row],[Company Tenure]]&lt;=20, "15-20",Table1[[#This Row],[Company Tenure]]&gt;20,"Above 20")</f>
        <v>6-10</v>
      </c>
    </row>
    <row r="374" spans="1:16" x14ac:dyDescent="0.25">
      <c r="A374" t="s">
        <v>824</v>
      </c>
      <c r="B374" t="s">
        <v>73</v>
      </c>
      <c r="C374" t="s">
        <v>80</v>
      </c>
      <c r="D374" t="s">
        <v>8</v>
      </c>
      <c r="E374">
        <v>37</v>
      </c>
      <c r="F374" t="s">
        <v>295</v>
      </c>
      <c r="G374" t="s">
        <v>161</v>
      </c>
      <c r="H374" s="2">
        <v>124878.42</v>
      </c>
      <c r="I374" s="1">
        <v>42129</v>
      </c>
      <c r="J374" s="3">
        <v>11</v>
      </c>
      <c r="K374" t="s">
        <v>825</v>
      </c>
      <c r="L374" t="s">
        <v>4</v>
      </c>
      <c r="M374">
        <v>4</v>
      </c>
      <c r="N374" t="str" cm="1">
        <f t="array" ref="N374">_xlfn.IFS(AND(24&lt;=Table1[[#This Row],[Age]],Table1[[#This Row],[Age]]&lt;=30),"24-30",Table1[[#This Row],[Age]]&lt;=35,"31-35",Table1[[#This Row],[Age]]&lt;=40,"36-40",Table1[[#This Row],[Age]]&lt;=45,"41-45",Table1[[#This Row],[Age]]&lt;=50,"46-50",Table1[[#This Row],[Age]]&lt;=55,"51-55",Table1[[#This Row],[Age]]&lt;=60,"56-60",Table1[[#This Row],[Age]]&lt;=66,"61-66")</f>
        <v>36-40</v>
      </c>
      <c r="O374" t="s">
        <v>1074</v>
      </c>
      <c r="P374" t="str" cm="1">
        <f t="array" ref="P374">_xlfn.IFS(Table1[[#This Row],[Company Tenure]]&lt;=5,"1-5",Table1[[#This Row],[Company Tenure]]&lt;=10,"6-10",Table1[[#This Row],[Company Tenure]]&lt;=15,"11-15",Table1[[#This Row],[Company Tenure]]&lt;=20, "15-20",Table1[[#This Row],[Company Tenure]]&gt;20,"Above 20")</f>
        <v>11-15</v>
      </c>
    </row>
    <row r="375" spans="1:16" x14ac:dyDescent="0.25">
      <c r="A375" t="s">
        <v>826</v>
      </c>
      <c r="B375" t="s">
        <v>232</v>
      </c>
      <c r="C375" t="s">
        <v>124</v>
      </c>
      <c r="D375" t="s">
        <v>8</v>
      </c>
      <c r="E375">
        <v>41</v>
      </c>
      <c r="F375" t="s">
        <v>1066</v>
      </c>
      <c r="G375" t="s">
        <v>100</v>
      </c>
      <c r="H375" s="2">
        <v>62827.05</v>
      </c>
      <c r="I375" s="1">
        <v>44925</v>
      </c>
      <c r="J375" s="3">
        <v>3</v>
      </c>
      <c r="K375" t="s">
        <v>827</v>
      </c>
      <c r="L375" t="s">
        <v>107</v>
      </c>
      <c r="M375">
        <v>3</v>
      </c>
      <c r="N375" t="str" cm="1">
        <f t="array" ref="N375">_xlfn.IFS(AND(24&lt;=Table1[[#This Row],[Age]],Table1[[#This Row],[Age]]&lt;=30),"24-30",Table1[[#This Row],[Age]]&lt;=35,"31-35",Table1[[#This Row],[Age]]&lt;=40,"36-40",Table1[[#This Row],[Age]]&lt;=45,"41-45",Table1[[#This Row],[Age]]&lt;=50,"46-50",Table1[[#This Row],[Age]]&lt;=55,"51-55",Table1[[#This Row],[Age]]&lt;=60,"56-60",Table1[[#This Row],[Age]]&lt;=66,"61-66")</f>
        <v>41-45</v>
      </c>
      <c r="O375" t="s">
        <v>1077</v>
      </c>
      <c r="P375" t="str" cm="1">
        <f t="array" ref="P375">_xlfn.IFS(Table1[[#This Row],[Company Tenure]]&lt;=5,"1-5",Table1[[#This Row],[Company Tenure]]&lt;=10,"6-10",Table1[[#This Row],[Company Tenure]]&lt;=15,"11-15",Table1[[#This Row],[Company Tenure]]&lt;=20, "15-20",Table1[[#This Row],[Company Tenure]]&gt;20,"Above 20")</f>
        <v>1-5</v>
      </c>
    </row>
    <row r="376" spans="1:16" x14ac:dyDescent="0.25">
      <c r="A376" t="s">
        <v>828</v>
      </c>
      <c r="B376" t="s">
        <v>229</v>
      </c>
      <c r="C376" t="s">
        <v>166</v>
      </c>
      <c r="D376" t="s">
        <v>1</v>
      </c>
      <c r="E376">
        <v>31</v>
      </c>
      <c r="F376" t="s">
        <v>154</v>
      </c>
      <c r="G376" t="s">
        <v>44</v>
      </c>
      <c r="H376" s="2">
        <v>38907</v>
      </c>
      <c r="I376" s="1">
        <v>44316</v>
      </c>
      <c r="J376" s="3">
        <v>5</v>
      </c>
      <c r="K376" t="s">
        <v>829</v>
      </c>
      <c r="L376" t="s">
        <v>207</v>
      </c>
      <c r="M376">
        <v>4</v>
      </c>
      <c r="N376" t="str" cm="1">
        <f t="array" ref="N376">_xlfn.IFS(AND(24&lt;=Table1[[#This Row],[Age]],Table1[[#This Row],[Age]]&lt;=30),"24-30",Table1[[#This Row],[Age]]&lt;=35,"31-35",Table1[[#This Row],[Age]]&lt;=40,"36-40",Table1[[#This Row],[Age]]&lt;=45,"41-45",Table1[[#This Row],[Age]]&lt;=50,"46-50",Table1[[#This Row],[Age]]&lt;=55,"51-55",Table1[[#This Row],[Age]]&lt;=60,"56-60",Table1[[#This Row],[Age]]&lt;=66,"61-66")</f>
        <v>31-35</v>
      </c>
      <c r="O376" t="s">
        <v>1076</v>
      </c>
      <c r="P376" t="str" cm="1">
        <f t="array" ref="P376">_xlfn.IFS(Table1[[#This Row],[Company Tenure]]&lt;=5,"1-5",Table1[[#This Row],[Company Tenure]]&lt;=10,"6-10",Table1[[#This Row],[Company Tenure]]&lt;=15,"11-15",Table1[[#This Row],[Company Tenure]]&lt;=20, "15-20",Table1[[#This Row],[Company Tenure]]&gt;20,"Above 20")</f>
        <v>1-5</v>
      </c>
    </row>
    <row r="377" spans="1:16" x14ac:dyDescent="0.25">
      <c r="A377" t="s">
        <v>830</v>
      </c>
      <c r="B377" t="s">
        <v>127</v>
      </c>
      <c r="C377" t="s">
        <v>962</v>
      </c>
      <c r="D377" t="s">
        <v>1</v>
      </c>
      <c r="E377">
        <v>37</v>
      </c>
      <c r="F377" t="s">
        <v>181</v>
      </c>
      <c r="G377" t="s">
        <v>2</v>
      </c>
      <c r="H377" s="2">
        <v>76684</v>
      </c>
      <c r="I377" s="1">
        <v>42247</v>
      </c>
      <c r="J377" s="3">
        <v>11</v>
      </c>
      <c r="K377" t="s">
        <v>831</v>
      </c>
      <c r="L377" t="s">
        <v>54</v>
      </c>
      <c r="M377">
        <v>4</v>
      </c>
      <c r="N377" t="str" cm="1">
        <f t="array" ref="N377">_xlfn.IFS(AND(24&lt;=Table1[[#This Row],[Age]],Table1[[#This Row],[Age]]&lt;=30),"24-30",Table1[[#This Row],[Age]]&lt;=35,"31-35",Table1[[#This Row],[Age]]&lt;=40,"36-40",Table1[[#This Row],[Age]]&lt;=45,"41-45",Table1[[#This Row],[Age]]&lt;=50,"46-50",Table1[[#This Row],[Age]]&lt;=55,"51-55",Table1[[#This Row],[Age]]&lt;=60,"56-60",Table1[[#This Row],[Age]]&lt;=66,"61-66")</f>
        <v>36-40</v>
      </c>
      <c r="O377" t="s">
        <v>1077</v>
      </c>
      <c r="P377" t="str" cm="1">
        <f t="array" ref="P377">_xlfn.IFS(Table1[[#This Row],[Company Tenure]]&lt;=5,"1-5",Table1[[#This Row],[Company Tenure]]&lt;=10,"6-10",Table1[[#This Row],[Company Tenure]]&lt;=15,"11-15",Table1[[#This Row],[Company Tenure]]&lt;=20, "15-20",Table1[[#This Row],[Company Tenure]]&gt;20,"Above 20")</f>
        <v>11-15</v>
      </c>
    </row>
    <row r="378" spans="1:16" x14ac:dyDescent="0.25">
      <c r="A378" t="s">
        <v>832</v>
      </c>
      <c r="B378" t="s">
        <v>132</v>
      </c>
      <c r="C378" t="s">
        <v>375</v>
      </c>
      <c r="D378" t="s">
        <v>23</v>
      </c>
      <c r="E378">
        <v>34</v>
      </c>
      <c r="F378" t="s">
        <v>313</v>
      </c>
      <c r="G378" t="s">
        <v>44</v>
      </c>
      <c r="H378" s="2">
        <v>89518.28</v>
      </c>
      <c r="I378" s="1">
        <v>45590</v>
      </c>
      <c r="J378" s="3">
        <v>1</v>
      </c>
      <c r="K378" t="s">
        <v>467</v>
      </c>
      <c r="L378" t="s">
        <v>65</v>
      </c>
      <c r="M378">
        <v>1</v>
      </c>
      <c r="N378" t="str" cm="1">
        <f t="array" ref="N378">_xlfn.IFS(AND(24&lt;=Table1[[#This Row],[Age]],Table1[[#This Row],[Age]]&lt;=30),"24-30",Table1[[#This Row],[Age]]&lt;=35,"31-35",Table1[[#This Row],[Age]]&lt;=40,"36-40",Table1[[#This Row],[Age]]&lt;=45,"41-45",Table1[[#This Row],[Age]]&lt;=50,"46-50",Table1[[#This Row],[Age]]&lt;=55,"51-55",Table1[[#This Row],[Age]]&lt;=60,"56-60",Table1[[#This Row],[Age]]&lt;=66,"61-66")</f>
        <v>31-35</v>
      </c>
      <c r="O378" t="s">
        <v>1077</v>
      </c>
      <c r="P378" t="str" cm="1">
        <f t="array" ref="P378">_xlfn.IFS(Table1[[#This Row],[Company Tenure]]&lt;=5,"1-5",Table1[[#This Row],[Company Tenure]]&lt;=10,"6-10",Table1[[#This Row],[Company Tenure]]&lt;=15,"11-15",Table1[[#This Row],[Company Tenure]]&lt;=20, "15-20",Table1[[#This Row],[Company Tenure]]&gt;20,"Above 20")</f>
        <v>1-5</v>
      </c>
    </row>
    <row r="379" spans="1:16" x14ac:dyDescent="0.25">
      <c r="A379" t="s">
        <v>833</v>
      </c>
      <c r="B379" t="s">
        <v>127</v>
      </c>
      <c r="C379" t="s">
        <v>169</v>
      </c>
      <c r="D379" t="s">
        <v>23</v>
      </c>
      <c r="E379">
        <v>41</v>
      </c>
      <c r="F379" t="s">
        <v>9</v>
      </c>
      <c r="G379" t="s">
        <v>63</v>
      </c>
      <c r="H379" s="2">
        <v>95369</v>
      </c>
      <c r="I379" s="1">
        <v>41614</v>
      </c>
      <c r="J379" s="3">
        <v>12</v>
      </c>
      <c r="K379" t="s">
        <v>407</v>
      </c>
      <c r="L379" t="s">
        <v>11</v>
      </c>
      <c r="M379">
        <v>4</v>
      </c>
      <c r="N379" t="str" cm="1">
        <f t="array" ref="N379">_xlfn.IFS(AND(24&lt;=Table1[[#This Row],[Age]],Table1[[#This Row],[Age]]&lt;=30),"24-30",Table1[[#This Row],[Age]]&lt;=35,"31-35",Table1[[#This Row],[Age]]&lt;=40,"36-40",Table1[[#This Row],[Age]]&lt;=45,"41-45",Table1[[#This Row],[Age]]&lt;=50,"46-50",Table1[[#This Row],[Age]]&lt;=55,"51-55",Table1[[#This Row],[Age]]&lt;=60,"56-60",Table1[[#This Row],[Age]]&lt;=66,"61-66")</f>
        <v>41-45</v>
      </c>
      <c r="O379" t="s">
        <v>1077</v>
      </c>
      <c r="P379" t="str" cm="1">
        <f t="array" ref="P379">_xlfn.IFS(Table1[[#This Row],[Company Tenure]]&lt;=5,"1-5",Table1[[#This Row],[Company Tenure]]&lt;=10,"6-10",Table1[[#This Row],[Company Tenure]]&lt;=15,"11-15",Table1[[#This Row],[Company Tenure]]&lt;=20, "15-20",Table1[[#This Row],[Company Tenure]]&gt;20,"Above 20")</f>
        <v>11-15</v>
      </c>
    </row>
    <row r="380" spans="1:16" x14ac:dyDescent="0.25">
      <c r="A380" t="s">
        <v>834</v>
      </c>
      <c r="B380" t="s">
        <v>401</v>
      </c>
      <c r="C380" t="s">
        <v>169</v>
      </c>
      <c r="D380" t="s">
        <v>23</v>
      </c>
      <c r="E380">
        <v>39</v>
      </c>
      <c r="F380" t="s">
        <v>142</v>
      </c>
      <c r="G380" t="s">
        <v>17</v>
      </c>
      <c r="H380" s="2">
        <v>56972</v>
      </c>
      <c r="I380" s="1">
        <v>41330</v>
      </c>
      <c r="J380" s="3">
        <v>13</v>
      </c>
      <c r="K380" t="s">
        <v>835</v>
      </c>
      <c r="L380" t="s">
        <v>54</v>
      </c>
      <c r="M380">
        <v>4</v>
      </c>
      <c r="N380" t="str" cm="1">
        <f t="array" ref="N380">_xlfn.IFS(AND(24&lt;=Table1[[#This Row],[Age]],Table1[[#This Row],[Age]]&lt;=30),"24-30",Table1[[#This Row],[Age]]&lt;=35,"31-35",Table1[[#This Row],[Age]]&lt;=40,"36-40",Table1[[#This Row],[Age]]&lt;=45,"41-45",Table1[[#This Row],[Age]]&lt;=50,"46-50",Table1[[#This Row],[Age]]&lt;=55,"51-55",Table1[[#This Row],[Age]]&lt;=60,"56-60",Table1[[#This Row],[Age]]&lt;=66,"61-66")</f>
        <v>36-40</v>
      </c>
      <c r="O380" t="s">
        <v>1077</v>
      </c>
      <c r="P380" t="str" cm="1">
        <f t="array" ref="P380">_xlfn.IFS(Table1[[#This Row],[Company Tenure]]&lt;=5,"1-5",Table1[[#This Row],[Company Tenure]]&lt;=10,"6-10",Table1[[#This Row],[Company Tenure]]&lt;=15,"11-15",Table1[[#This Row],[Company Tenure]]&lt;=20, "15-20",Table1[[#This Row],[Company Tenure]]&gt;20,"Above 20")</f>
        <v>11-15</v>
      </c>
    </row>
    <row r="381" spans="1:16" x14ac:dyDescent="0.25">
      <c r="A381" t="s">
        <v>836</v>
      </c>
      <c r="B381" t="s">
        <v>378</v>
      </c>
      <c r="C381" t="s">
        <v>83</v>
      </c>
      <c r="D381" t="s">
        <v>8</v>
      </c>
      <c r="E381">
        <v>40</v>
      </c>
      <c r="F381" t="s">
        <v>36</v>
      </c>
      <c r="G381" t="s">
        <v>100</v>
      </c>
      <c r="H381" s="2">
        <v>70849.05</v>
      </c>
      <c r="I381" s="1">
        <v>41504</v>
      </c>
      <c r="J381" s="3">
        <v>13</v>
      </c>
      <c r="K381" t="s">
        <v>837</v>
      </c>
      <c r="L381" t="s">
        <v>54</v>
      </c>
      <c r="M381">
        <v>3</v>
      </c>
      <c r="N381" t="str" cm="1">
        <f t="array" ref="N381">_xlfn.IFS(AND(24&lt;=Table1[[#This Row],[Age]],Table1[[#This Row],[Age]]&lt;=30),"24-30",Table1[[#This Row],[Age]]&lt;=35,"31-35",Table1[[#This Row],[Age]]&lt;=40,"36-40",Table1[[#This Row],[Age]]&lt;=45,"41-45",Table1[[#This Row],[Age]]&lt;=50,"46-50",Table1[[#This Row],[Age]]&lt;=55,"51-55",Table1[[#This Row],[Age]]&lt;=60,"56-60",Table1[[#This Row],[Age]]&lt;=66,"61-66")</f>
        <v>36-40</v>
      </c>
      <c r="O381" t="s">
        <v>1077</v>
      </c>
      <c r="P381" t="str" cm="1">
        <f t="array" ref="P381">_xlfn.IFS(Table1[[#This Row],[Company Tenure]]&lt;=5,"1-5",Table1[[#This Row],[Company Tenure]]&lt;=10,"6-10",Table1[[#This Row],[Company Tenure]]&lt;=15,"11-15",Table1[[#This Row],[Company Tenure]]&lt;=20, "15-20",Table1[[#This Row],[Company Tenure]]&gt;20,"Above 20")</f>
        <v>11-15</v>
      </c>
    </row>
    <row r="382" spans="1:16" x14ac:dyDescent="0.25">
      <c r="A382" t="s">
        <v>838</v>
      </c>
      <c r="B382" t="s">
        <v>714</v>
      </c>
      <c r="C382" t="s">
        <v>269</v>
      </c>
      <c r="D382" t="s">
        <v>23</v>
      </c>
      <c r="E382">
        <v>44</v>
      </c>
      <c r="F382" t="s">
        <v>36</v>
      </c>
      <c r="G382" t="s">
        <v>37</v>
      </c>
      <c r="H382" s="2">
        <v>101839</v>
      </c>
      <c r="I382" s="1">
        <v>41684</v>
      </c>
      <c r="J382" s="3">
        <v>12</v>
      </c>
      <c r="K382" t="s">
        <v>839</v>
      </c>
      <c r="L382" t="s">
        <v>25</v>
      </c>
      <c r="M382">
        <v>2</v>
      </c>
      <c r="N382" t="str" cm="1">
        <f t="array" ref="N382">_xlfn.IFS(AND(24&lt;=Table1[[#This Row],[Age]],Table1[[#This Row],[Age]]&lt;=30),"24-30",Table1[[#This Row],[Age]]&lt;=35,"31-35",Table1[[#This Row],[Age]]&lt;=40,"36-40",Table1[[#This Row],[Age]]&lt;=45,"41-45",Table1[[#This Row],[Age]]&lt;=50,"46-50",Table1[[#This Row],[Age]]&lt;=55,"51-55",Table1[[#This Row],[Age]]&lt;=60,"56-60",Table1[[#This Row],[Age]]&lt;=66,"61-66")</f>
        <v>41-45</v>
      </c>
      <c r="O382" t="s">
        <v>1074</v>
      </c>
      <c r="P382" t="str" cm="1">
        <f t="array" ref="P382">_xlfn.IFS(Table1[[#This Row],[Company Tenure]]&lt;=5,"1-5",Table1[[#This Row],[Company Tenure]]&lt;=10,"6-10",Table1[[#This Row],[Company Tenure]]&lt;=15,"11-15",Table1[[#This Row],[Company Tenure]]&lt;=20, "15-20",Table1[[#This Row],[Company Tenure]]&gt;20,"Above 20")</f>
        <v>11-15</v>
      </c>
    </row>
    <row r="383" spans="1:16" x14ac:dyDescent="0.25">
      <c r="A383" t="s">
        <v>840</v>
      </c>
      <c r="B383" t="s">
        <v>132</v>
      </c>
      <c r="C383" t="s">
        <v>68</v>
      </c>
      <c r="D383" t="s">
        <v>1</v>
      </c>
      <c r="E383">
        <v>44</v>
      </c>
      <c r="F383" t="s">
        <v>295</v>
      </c>
      <c r="G383" t="s">
        <v>105</v>
      </c>
      <c r="H383" s="2">
        <v>109605</v>
      </c>
      <c r="I383" s="1">
        <v>45634</v>
      </c>
      <c r="J383" s="3">
        <v>1</v>
      </c>
      <c r="K383" t="s">
        <v>204</v>
      </c>
      <c r="L383" t="s">
        <v>39</v>
      </c>
      <c r="M383">
        <v>2</v>
      </c>
      <c r="N383" t="str" cm="1">
        <f t="array" ref="N383">_xlfn.IFS(AND(24&lt;=Table1[[#This Row],[Age]],Table1[[#This Row],[Age]]&lt;=30),"24-30",Table1[[#This Row],[Age]]&lt;=35,"31-35",Table1[[#This Row],[Age]]&lt;=40,"36-40",Table1[[#This Row],[Age]]&lt;=45,"41-45",Table1[[#This Row],[Age]]&lt;=50,"46-50",Table1[[#This Row],[Age]]&lt;=55,"51-55",Table1[[#This Row],[Age]]&lt;=60,"56-60",Table1[[#This Row],[Age]]&lt;=66,"61-66")</f>
        <v>41-45</v>
      </c>
      <c r="O383" t="s">
        <v>1074</v>
      </c>
      <c r="P383" t="str" cm="1">
        <f t="array" ref="P383">_xlfn.IFS(Table1[[#This Row],[Company Tenure]]&lt;=5,"1-5",Table1[[#This Row],[Company Tenure]]&lt;=10,"6-10",Table1[[#This Row],[Company Tenure]]&lt;=15,"11-15",Table1[[#This Row],[Company Tenure]]&lt;=20, "15-20",Table1[[#This Row],[Company Tenure]]&gt;20,"Above 20")</f>
        <v>1-5</v>
      </c>
    </row>
    <row r="384" spans="1:16" x14ac:dyDescent="0.25">
      <c r="A384" t="s">
        <v>841</v>
      </c>
      <c r="B384" t="s">
        <v>355</v>
      </c>
      <c r="C384" t="s">
        <v>59</v>
      </c>
      <c r="D384" t="s">
        <v>1</v>
      </c>
      <c r="E384">
        <v>41</v>
      </c>
      <c r="F384" t="s">
        <v>181</v>
      </c>
      <c r="G384" t="s">
        <v>37</v>
      </c>
      <c r="H384" s="2">
        <v>61657</v>
      </c>
      <c r="I384" s="1">
        <v>41738</v>
      </c>
      <c r="J384" s="3">
        <v>12</v>
      </c>
      <c r="K384" t="s">
        <v>842</v>
      </c>
      <c r="L384" t="s">
        <v>14</v>
      </c>
      <c r="M384">
        <v>4</v>
      </c>
      <c r="N384" t="str" cm="1">
        <f t="array" ref="N384">_xlfn.IFS(AND(24&lt;=Table1[[#This Row],[Age]],Table1[[#This Row],[Age]]&lt;=30),"24-30",Table1[[#This Row],[Age]]&lt;=35,"31-35",Table1[[#This Row],[Age]]&lt;=40,"36-40",Table1[[#This Row],[Age]]&lt;=45,"41-45",Table1[[#This Row],[Age]]&lt;=50,"46-50",Table1[[#This Row],[Age]]&lt;=55,"51-55",Table1[[#This Row],[Age]]&lt;=60,"56-60",Table1[[#This Row],[Age]]&lt;=66,"61-66")</f>
        <v>41-45</v>
      </c>
      <c r="O384" t="s">
        <v>1077</v>
      </c>
      <c r="P384" t="str" cm="1">
        <f t="array" ref="P384">_xlfn.IFS(Table1[[#This Row],[Company Tenure]]&lt;=5,"1-5",Table1[[#This Row],[Company Tenure]]&lt;=10,"6-10",Table1[[#This Row],[Company Tenure]]&lt;=15,"11-15",Table1[[#This Row],[Company Tenure]]&lt;=20, "15-20",Table1[[#This Row],[Company Tenure]]&gt;20,"Above 20")</f>
        <v>11-15</v>
      </c>
    </row>
    <row r="385" spans="1:16" x14ac:dyDescent="0.25">
      <c r="A385" t="s">
        <v>843</v>
      </c>
      <c r="B385" t="s">
        <v>232</v>
      </c>
      <c r="C385" t="s">
        <v>962</v>
      </c>
      <c r="D385" t="s">
        <v>8</v>
      </c>
      <c r="E385">
        <v>49</v>
      </c>
      <c r="F385" t="s">
        <v>203</v>
      </c>
      <c r="G385" t="s">
        <v>44</v>
      </c>
      <c r="H385" s="2">
        <v>51595</v>
      </c>
      <c r="I385" s="1" t="s">
        <v>1059</v>
      </c>
      <c r="J385" s="3" t="s">
        <v>1059</v>
      </c>
      <c r="K385" t="s">
        <v>432</v>
      </c>
      <c r="L385" t="s">
        <v>4</v>
      </c>
      <c r="M385">
        <v>4</v>
      </c>
      <c r="N385" t="str" cm="1">
        <f t="array" ref="N385">_xlfn.IFS(AND(24&lt;=Table1[[#This Row],[Age]],Table1[[#This Row],[Age]]&lt;=30),"24-30",Table1[[#This Row],[Age]]&lt;=35,"31-35",Table1[[#This Row],[Age]]&lt;=40,"36-40",Table1[[#This Row],[Age]]&lt;=45,"41-45",Table1[[#This Row],[Age]]&lt;=50,"46-50",Table1[[#This Row],[Age]]&lt;=55,"51-55",Table1[[#This Row],[Age]]&lt;=60,"56-60",Table1[[#This Row],[Age]]&lt;=66,"61-66")</f>
        <v>46-50</v>
      </c>
      <c r="O385" t="s">
        <v>1077</v>
      </c>
      <c r="P385" t="str" cm="1">
        <f t="array" ref="P385">_xlfn.IFS(Table1[[#This Row],[Company Tenure]]&lt;=5,"1-5",Table1[[#This Row],[Company Tenure]]&lt;=10,"6-10",Table1[[#This Row],[Company Tenure]]&lt;=15,"11-15",Table1[[#This Row],[Company Tenure]]&lt;=20, "15-20",Table1[[#This Row],[Company Tenure]]&gt;20,"Above 20")</f>
        <v>Above 20</v>
      </c>
    </row>
    <row r="386" spans="1:16" x14ac:dyDescent="0.25">
      <c r="A386" t="s">
        <v>844</v>
      </c>
      <c r="B386" t="s">
        <v>469</v>
      </c>
      <c r="C386" t="s">
        <v>269</v>
      </c>
      <c r="D386" t="s">
        <v>23</v>
      </c>
      <c r="E386">
        <v>35</v>
      </c>
      <c r="F386" t="s">
        <v>9</v>
      </c>
      <c r="G386" t="s">
        <v>216</v>
      </c>
      <c r="H386" s="2">
        <v>221241.93</v>
      </c>
      <c r="I386" s="1">
        <v>41813</v>
      </c>
      <c r="J386" s="3">
        <v>12</v>
      </c>
      <c r="K386" t="s">
        <v>97</v>
      </c>
      <c r="L386" t="s">
        <v>54</v>
      </c>
      <c r="M386">
        <v>3</v>
      </c>
      <c r="N386" t="str" cm="1">
        <f t="array" ref="N386">_xlfn.IFS(AND(24&lt;=Table1[[#This Row],[Age]],Table1[[#This Row],[Age]]&lt;=30),"24-30",Table1[[#This Row],[Age]]&lt;=35,"31-35",Table1[[#This Row],[Age]]&lt;=40,"36-40",Table1[[#This Row],[Age]]&lt;=45,"41-45",Table1[[#This Row],[Age]]&lt;=50,"46-50",Table1[[#This Row],[Age]]&lt;=55,"51-55",Table1[[#This Row],[Age]]&lt;=60,"56-60",Table1[[#This Row],[Age]]&lt;=66,"61-66")</f>
        <v>31-35</v>
      </c>
      <c r="O386" t="s">
        <v>1079</v>
      </c>
      <c r="P386" t="str" cm="1">
        <f t="array" ref="P386">_xlfn.IFS(Table1[[#This Row],[Company Tenure]]&lt;=5,"1-5",Table1[[#This Row],[Company Tenure]]&lt;=10,"6-10",Table1[[#This Row],[Company Tenure]]&lt;=15,"11-15",Table1[[#This Row],[Company Tenure]]&lt;=20, "15-20",Table1[[#This Row],[Company Tenure]]&gt;20,"Above 20")</f>
        <v>11-15</v>
      </c>
    </row>
    <row r="387" spans="1:16" x14ac:dyDescent="0.25">
      <c r="A387" t="s">
        <v>845</v>
      </c>
      <c r="B387" t="s">
        <v>232</v>
      </c>
      <c r="C387" t="s">
        <v>31</v>
      </c>
      <c r="D387" t="s">
        <v>8</v>
      </c>
      <c r="E387">
        <v>46</v>
      </c>
      <c r="F387" t="s">
        <v>295</v>
      </c>
      <c r="G387" t="s">
        <v>100</v>
      </c>
      <c r="H387" s="2">
        <v>143601</v>
      </c>
      <c r="I387" s="1">
        <v>39869</v>
      </c>
      <c r="J387" s="3">
        <v>17</v>
      </c>
      <c r="K387" t="s">
        <v>209</v>
      </c>
      <c r="L387" t="s">
        <v>107</v>
      </c>
      <c r="M387">
        <v>5</v>
      </c>
      <c r="N387" t="str" cm="1">
        <f t="array" ref="N387">_xlfn.IFS(AND(24&lt;=Table1[[#This Row],[Age]],Table1[[#This Row],[Age]]&lt;=30),"24-30",Table1[[#This Row],[Age]]&lt;=35,"31-35",Table1[[#This Row],[Age]]&lt;=40,"36-40",Table1[[#This Row],[Age]]&lt;=45,"41-45",Table1[[#This Row],[Age]]&lt;=50,"46-50",Table1[[#This Row],[Age]]&lt;=55,"51-55",Table1[[#This Row],[Age]]&lt;=60,"56-60",Table1[[#This Row],[Age]]&lt;=66,"61-66")</f>
        <v>46-50</v>
      </c>
      <c r="O387" t="s">
        <v>1074</v>
      </c>
      <c r="P387" t="str" cm="1">
        <f t="array" ref="P387">_xlfn.IFS(Table1[[#This Row],[Company Tenure]]&lt;=5,"1-5",Table1[[#This Row],[Company Tenure]]&lt;=10,"6-10",Table1[[#This Row],[Company Tenure]]&lt;=15,"11-15",Table1[[#This Row],[Company Tenure]]&lt;=20, "15-20",Table1[[#This Row],[Company Tenure]]&gt;20,"Above 20")</f>
        <v>15-20</v>
      </c>
    </row>
    <row r="388" spans="1:16" x14ac:dyDescent="0.25">
      <c r="A388" t="s">
        <v>846</v>
      </c>
      <c r="B388" t="s">
        <v>316</v>
      </c>
      <c r="C388" t="s">
        <v>124</v>
      </c>
      <c r="D388" t="s">
        <v>23</v>
      </c>
      <c r="E388">
        <v>49</v>
      </c>
      <c r="F388" t="s">
        <v>181</v>
      </c>
      <c r="G388" t="s">
        <v>105</v>
      </c>
      <c r="H388" s="2">
        <v>100593</v>
      </c>
      <c r="I388" s="1">
        <v>38419</v>
      </c>
      <c r="J388" s="3">
        <v>21</v>
      </c>
      <c r="K388" t="s">
        <v>847</v>
      </c>
      <c r="L388" t="s">
        <v>4</v>
      </c>
      <c r="M388">
        <v>4</v>
      </c>
      <c r="N388" t="str" cm="1">
        <f t="array" ref="N388">_xlfn.IFS(AND(24&lt;=Table1[[#This Row],[Age]],Table1[[#This Row],[Age]]&lt;=30),"24-30",Table1[[#This Row],[Age]]&lt;=35,"31-35",Table1[[#This Row],[Age]]&lt;=40,"36-40",Table1[[#This Row],[Age]]&lt;=45,"41-45",Table1[[#This Row],[Age]]&lt;=50,"46-50",Table1[[#This Row],[Age]]&lt;=55,"51-55",Table1[[#This Row],[Age]]&lt;=60,"56-60",Table1[[#This Row],[Age]]&lt;=66,"61-66")</f>
        <v>46-50</v>
      </c>
      <c r="O388" t="s">
        <v>1074</v>
      </c>
      <c r="P388" t="str" cm="1">
        <f t="array" ref="P388">_xlfn.IFS(Table1[[#This Row],[Company Tenure]]&lt;=5,"1-5",Table1[[#This Row],[Company Tenure]]&lt;=10,"6-10",Table1[[#This Row],[Company Tenure]]&lt;=15,"11-15",Table1[[#This Row],[Company Tenure]]&lt;=20, "15-20",Table1[[#This Row],[Company Tenure]]&gt;20,"Above 20")</f>
        <v>Above 20</v>
      </c>
    </row>
    <row r="389" spans="1:16" x14ac:dyDescent="0.25">
      <c r="A389" t="s">
        <v>848</v>
      </c>
      <c r="B389" t="s">
        <v>514</v>
      </c>
      <c r="C389" t="s">
        <v>351</v>
      </c>
      <c r="D389" t="s">
        <v>23</v>
      </c>
      <c r="E389">
        <v>53</v>
      </c>
      <c r="F389" t="s">
        <v>203</v>
      </c>
      <c r="G389" t="s">
        <v>44</v>
      </c>
      <c r="H389" s="2">
        <v>44095</v>
      </c>
      <c r="I389" s="1">
        <v>45654</v>
      </c>
      <c r="J389" s="3">
        <v>1</v>
      </c>
      <c r="K389" t="s">
        <v>515</v>
      </c>
      <c r="L389" t="s">
        <v>120</v>
      </c>
      <c r="M389">
        <v>3</v>
      </c>
      <c r="N389" t="str" cm="1">
        <f t="array" ref="N389">_xlfn.IFS(AND(24&lt;=Table1[[#This Row],[Age]],Table1[[#This Row],[Age]]&lt;=30),"24-30",Table1[[#This Row],[Age]]&lt;=35,"31-35",Table1[[#This Row],[Age]]&lt;=40,"36-40",Table1[[#This Row],[Age]]&lt;=45,"41-45",Table1[[#This Row],[Age]]&lt;=50,"46-50",Table1[[#This Row],[Age]]&lt;=55,"51-55",Table1[[#This Row],[Age]]&lt;=60,"56-60",Table1[[#This Row],[Age]]&lt;=66,"61-66")</f>
        <v>51-55</v>
      </c>
      <c r="O389" t="s">
        <v>1076</v>
      </c>
      <c r="P389" t="str" cm="1">
        <f t="array" ref="P389">_xlfn.IFS(Table1[[#This Row],[Company Tenure]]&lt;=5,"1-5",Table1[[#This Row],[Company Tenure]]&lt;=10,"6-10",Table1[[#This Row],[Company Tenure]]&lt;=15,"11-15",Table1[[#This Row],[Company Tenure]]&lt;=20, "15-20",Table1[[#This Row],[Company Tenure]]&gt;20,"Above 20")</f>
        <v>1-5</v>
      </c>
    </row>
    <row r="390" spans="1:16" x14ac:dyDescent="0.25">
      <c r="A390" t="s">
        <v>849</v>
      </c>
      <c r="B390" t="s">
        <v>43</v>
      </c>
      <c r="C390" t="s">
        <v>351</v>
      </c>
      <c r="D390" t="s">
        <v>8</v>
      </c>
      <c r="E390">
        <v>46</v>
      </c>
      <c r="F390" t="s">
        <v>295</v>
      </c>
      <c r="G390" t="s">
        <v>17</v>
      </c>
      <c r="H390" s="2">
        <v>67113.69</v>
      </c>
      <c r="I390" s="1">
        <v>39824</v>
      </c>
      <c r="J390" s="3">
        <v>17</v>
      </c>
      <c r="K390" t="s">
        <v>122</v>
      </c>
      <c r="L390" t="s">
        <v>49</v>
      </c>
      <c r="M390">
        <v>4</v>
      </c>
      <c r="N390" t="str" cm="1">
        <f t="array" ref="N390">_xlfn.IFS(AND(24&lt;=Table1[[#This Row],[Age]],Table1[[#This Row],[Age]]&lt;=30),"24-30",Table1[[#This Row],[Age]]&lt;=35,"31-35",Table1[[#This Row],[Age]]&lt;=40,"36-40",Table1[[#This Row],[Age]]&lt;=45,"41-45",Table1[[#This Row],[Age]]&lt;=50,"46-50",Table1[[#This Row],[Age]]&lt;=55,"51-55",Table1[[#This Row],[Age]]&lt;=60,"56-60",Table1[[#This Row],[Age]]&lt;=66,"61-66")</f>
        <v>46-50</v>
      </c>
      <c r="O390" t="s">
        <v>1077</v>
      </c>
      <c r="P390" t="str" cm="1">
        <f t="array" ref="P390">_xlfn.IFS(Table1[[#This Row],[Company Tenure]]&lt;=5,"1-5",Table1[[#This Row],[Company Tenure]]&lt;=10,"6-10",Table1[[#This Row],[Company Tenure]]&lt;=15,"11-15",Table1[[#This Row],[Company Tenure]]&lt;=20, "15-20",Table1[[#This Row],[Company Tenure]]&gt;20,"Above 20")</f>
        <v>15-20</v>
      </c>
    </row>
    <row r="391" spans="1:16" x14ac:dyDescent="0.25">
      <c r="A391" t="s">
        <v>850</v>
      </c>
      <c r="B391" t="s">
        <v>16</v>
      </c>
      <c r="C391" t="s">
        <v>80</v>
      </c>
      <c r="D391" t="s">
        <v>23</v>
      </c>
      <c r="E391">
        <v>38</v>
      </c>
      <c r="F391" t="s">
        <v>1066</v>
      </c>
      <c r="G391" t="s">
        <v>37</v>
      </c>
      <c r="H391" s="2">
        <v>58991</v>
      </c>
      <c r="I391" s="1">
        <v>42206</v>
      </c>
      <c r="J391" s="3">
        <v>11</v>
      </c>
      <c r="K391" t="s">
        <v>750</v>
      </c>
      <c r="L391" t="s">
        <v>107</v>
      </c>
      <c r="M391">
        <v>2</v>
      </c>
      <c r="N391" t="str" cm="1">
        <f t="array" ref="N391">_xlfn.IFS(AND(24&lt;=Table1[[#This Row],[Age]],Table1[[#This Row],[Age]]&lt;=30),"24-30",Table1[[#This Row],[Age]]&lt;=35,"31-35",Table1[[#This Row],[Age]]&lt;=40,"36-40",Table1[[#This Row],[Age]]&lt;=45,"41-45",Table1[[#This Row],[Age]]&lt;=50,"46-50",Table1[[#This Row],[Age]]&lt;=55,"51-55",Table1[[#This Row],[Age]]&lt;=60,"56-60",Table1[[#This Row],[Age]]&lt;=66,"61-66")</f>
        <v>36-40</v>
      </c>
      <c r="O391" t="s">
        <v>1077</v>
      </c>
      <c r="P391" t="str" cm="1">
        <f t="array" ref="P391">_xlfn.IFS(Table1[[#This Row],[Company Tenure]]&lt;=5,"1-5",Table1[[#This Row],[Company Tenure]]&lt;=10,"6-10",Table1[[#This Row],[Company Tenure]]&lt;=15,"11-15",Table1[[#This Row],[Company Tenure]]&lt;=20, "15-20",Table1[[#This Row],[Company Tenure]]&gt;20,"Above 20")</f>
        <v>11-15</v>
      </c>
    </row>
    <row r="392" spans="1:16" x14ac:dyDescent="0.25">
      <c r="A392" t="s">
        <v>851</v>
      </c>
      <c r="B392" t="s">
        <v>514</v>
      </c>
      <c r="C392" t="s">
        <v>68</v>
      </c>
      <c r="D392" t="s">
        <v>1</v>
      </c>
      <c r="E392">
        <v>39</v>
      </c>
      <c r="F392" t="s">
        <v>36</v>
      </c>
      <c r="G392" t="s">
        <v>37</v>
      </c>
      <c r="H392" s="2">
        <v>92714</v>
      </c>
      <c r="I392" s="1">
        <v>42956</v>
      </c>
      <c r="J392" s="3">
        <v>9</v>
      </c>
      <c r="K392" t="s">
        <v>852</v>
      </c>
      <c r="L392" t="s">
        <v>25</v>
      </c>
      <c r="M392">
        <v>2</v>
      </c>
      <c r="N392" t="str" cm="1">
        <f t="array" ref="N392">_xlfn.IFS(AND(24&lt;=Table1[[#This Row],[Age]],Table1[[#This Row],[Age]]&lt;=30),"24-30",Table1[[#This Row],[Age]]&lt;=35,"31-35",Table1[[#This Row],[Age]]&lt;=40,"36-40",Table1[[#This Row],[Age]]&lt;=45,"41-45",Table1[[#This Row],[Age]]&lt;=50,"46-50",Table1[[#This Row],[Age]]&lt;=55,"51-55",Table1[[#This Row],[Age]]&lt;=60,"56-60",Table1[[#This Row],[Age]]&lt;=66,"61-66")</f>
        <v>36-40</v>
      </c>
      <c r="O392" t="s">
        <v>1077</v>
      </c>
      <c r="P392" t="str" cm="1">
        <f t="array" ref="P392">_xlfn.IFS(Table1[[#This Row],[Company Tenure]]&lt;=5,"1-5",Table1[[#This Row],[Company Tenure]]&lt;=10,"6-10",Table1[[#This Row],[Company Tenure]]&lt;=15,"11-15",Table1[[#This Row],[Company Tenure]]&lt;=20, "15-20",Table1[[#This Row],[Company Tenure]]&gt;20,"Above 20")</f>
        <v>6-10</v>
      </c>
    </row>
    <row r="393" spans="1:16" x14ac:dyDescent="0.25">
      <c r="A393" t="s">
        <v>853</v>
      </c>
      <c r="B393" t="s">
        <v>476</v>
      </c>
      <c r="C393" t="s">
        <v>394</v>
      </c>
      <c r="D393" t="s">
        <v>8</v>
      </c>
      <c r="E393">
        <v>54</v>
      </c>
      <c r="F393" t="s">
        <v>313</v>
      </c>
      <c r="G393" t="s">
        <v>63</v>
      </c>
      <c r="H393" s="2">
        <v>98225.23</v>
      </c>
      <c r="I393" s="1">
        <v>39407</v>
      </c>
      <c r="J393" s="3">
        <v>18</v>
      </c>
      <c r="K393" t="s">
        <v>854</v>
      </c>
      <c r="L393" t="s">
        <v>11</v>
      </c>
      <c r="M393">
        <v>2</v>
      </c>
      <c r="N393" t="str" cm="1">
        <f t="array" ref="N393">_xlfn.IFS(AND(24&lt;=Table1[[#This Row],[Age]],Table1[[#This Row],[Age]]&lt;=30),"24-30",Table1[[#This Row],[Age]]&lt;=35,"31-35",Table1[[#This Row],[Age]]&lt;=40,"36-40",Table1[[#This Row],[Age]]&lt;=45,"41-45",Table1[[#This Row],[Age]]&lt;=50,"46-50",Table1[[#This Row],[Age]]&lt;=55,"51-55",Table1[[#This Row],[Age]]&lt;=60,"56-60",Table1[[#This Row],[Age]]&lt;=66,"61-66")</f>
        <v>51-55</v>
      </c>
      <c r="O393" t="s">
        <v>1077</v>
      </c>
      <c r="P393" t="str" cm="1">
        <f t="array" ref="P393">_xlfn.IFS(Table1[[#This Row],[Company Tenure]]&lt;=5,"1-5",Table1[[#This Row],[Company Tenure]]&lt;=10,"6-10",Table1[[#This Row],[Company Tenure]]&lt;=15,"11-15",Table1[[#This Row],[Company Tenure]]&lt;=20, "15-20",Table1[[#This Row],[Company Tenure]]&gt;20,"Above 20")</f>
        <v>15-20</v>
      </c>
    </row>
    <row r="394" spans="1:16" x14ac:dyDescent="0.25">
      <c r="A394" t="s">
        <v>855</v>
      </c>
      <c r="B394" t="s">
        <v>73</v>
      </c>
      <c r="C394" t="s">
        <v>118</v>
      </c>
      <c r="D394" t="s">
        <v>8</v>
      </c>
      <c r="E394">
        <v>32</v>
      </c>
      <c r="F394" t="s">
        <v>154</v>
      </c>
      <c r="G394" t="s">
        <v>17</v>
      </c>
      <c r="H394" s="2">
        <v>42564</v>
      </c>
      <c r="I394" s="1">
        <v>41934</v>
      </c>
      <c r="J394" s="3">
        <v>11</v>
      </c>
      <c r="K394" t="s">
        <v>856</v>
      </c>
      <c r="L394" t="s">
        <v>25</v>
      </c>
      <c r="M394">
        <v>2</v>
      </c>
      <c r="N394" t="str" cm="1">
        <f t="array" ref="N394">_xlfn.IFS(AND(24&lt;=Table1[[#This Row],[Age]],Table1[[#This Row],[Age]]&lt;=30),"24-30",Table1[[#This Row],[Age]]&lt;=35,"31-35",Table1[[#This Row],[Age]]&lt;=40,"36-40",Table1[[#This Row],[Age]]&lt;=45,"41-45",Table1[[#This Row],[Age]]&lt;=50,"46-50",Table1[[#This Row],[Age]]&lt;=55,"51-55",Table1[[#This Row],[Age]]&lt;=60,"56-60",Table1[[#This Row],[Age]]&lt;=66,"61-66")</f>
        <v>31-35</v>
      </c>
      <c r="O394" t="s">
        <v>1076</v>
      </c>
      <c r="P394" t="str" cm="1">
        <f t="array" ref="P394">_xlfn.IFS(Table1[[#This Row],[Company Tenure]]&lt;=5,"1-5",Table1[[#This Row],[Company Tenure]]&lt;=10,"6-10",Table1[[#This Row],[Company Tenure]]&lt;=15,"11-15",Table1[[#This Row],[Company Tenure]]&lt;=20, "15-20",Table1[[#This Row],[Company Tenure]]&gt;20,"Above 20")</f>
        <v>11-15</v>
      </c>
    </row>
    <row r="395" spans="1:16" x14ac:dyDescent="0.25">
      <c r="A395" t="s">
        <v>857</v>
      </c>
      <c r="B395" t="s">
        <v>62</v>
      </c>
      <c r="C395" t="s">
        <v>76</v>
      </c>
      <c r="D395" t="s">
        <v>8</v>
      </c>
      <c r="E395">
        <v>42</v>
      </c>
      <c r="F395" t="s">
        <v>1066</v>
      </c>
      <c r="G395" t="s">
        <v>105</v>
      </c>
      <c r="H395" s="2">
        <v>103845</v>
      </c>
      <c r="I395" s="1">
        <v>39793</v>
      </c>
      <c r="J395" s="3">
        <v>17</v>
      </c>
      <c r="K395" t="s">
        <v>147</v>
      </c>
      <c r="L395" t="s">
        <v>65</v>
      </c>
      <c r="M395">
        <v>5</v>
      </c>
      <c r="N395" t="str" cm="1">
        <f t="array" ref="N395">_xlfn.IFS(AND(24&lt;=Table1[[#This Row],[Age]],Table1[[#This Row],[Age]]&lt;=30),"24-30",Table1[[#This Row],[Age]]&lt;=35,"31-35",Table1[[#This Row],[Age]]&lt;=40,"36-40",Table1[[#This Row],[Age]]&lt;=45,"41-45",Table1[[#This Row],[Age]]&lt;=50,"46-50",Table1[[#This Row],[Age]]&lt;=55,"51-55",Table1[[#This Row],[Age]]&lt;=60,"56-60",Table1[[#This Row],[Age]]&lt;=66,"61-66")</f>
        <v>41-45</v>
      </c>
      <c r="O395" t="s">
        <v>1074</v>
      </c>
      <c r="P395" t="str" cm="1">
        <f t="array" ref="P395">_xlfn.IFS(Table1[[#This Row],[Company Tenure]]&lt;=5,"1-5",Table1[[#This Row],[Company Tenure]]&lt;=10,"6-10",Table1[[#This Row],[Company Tenure]]&lt;=15,"11-15",Table1[[#This Row],[Company Tenure]]&lt;=20, "15-20",Table1[[#This Row],[Company Tenure]]&gt;20,"Above 20")</f>
        <v>15-20</v>
      </c>
    </row>
    <row r="396" spans="1:16" x14ac:dyDescent="0.25">
      <c r="A396" t="s">
        <v>858</v>
      </c>
      <c r="B396" t="s">
        <v>79</v>
      </c>
      <c r="C396" t="s">
        <v>169</v>
      </c>
      <c r="D396" t="s">
        <v>1</v>
      </c>
      <c r="E396">
        <v>33</v>
      </c>
      <c r="F396" t="s">
        <v>1066</v>
      </c>
      <c r="G396" t="s">
        <v>44</v>
      </c>
      <c r="H396" s="2">
        <v>88028</v>
      </c>
      <c r="I396" s="1">
        <v>43544</v>
      </c>
      <c r="J396" s="3">
        <v>7</v>
      </c>
      <c r="K396" t="s">
        <v>735</v>
      </c>
      <c r="L396" t="s">
        <v>107</v>
      </c>
      <c r="M396">
        <v>4</v>
      </c>
      <c r="N396" t="str" cm="1">
        <f t="array" ref="N396">_xlfn.IFS(AND(24&lt;=Table1[[#This Row],[Age]],Table1[[#This Row],[Age]]&lt;=30),"24-30",Table1[[#This Row],[Age]]&lt;=35,"31-35",Table1[[#This Row],[Age]]&lt;=40,"36-40",Table1[[#This Row],[Age]]&lt;=45,"41-45",Table1[[#This Row],[Age]]&lt;=50,"46-50",Table1[[#This Row],[Age]]&lt;=55,"51-55",Table1[[#This Row],[Age]]&lt;=60,"56-60",Table1[[#This Row],[Age]]&lt;=66,"61-66")</f>
        <v>31-35</v>
      </c>
      <c r="O396" t="s">
        <v>1077</v>
      </c>
      <c r="P396" t="str" cm="1">
        <f t="array" ref="P396">_xlfn.IFS(Table1[[#This Row],[Company Tenure]]&lt;=5,"1-5",Table1[[#This Row],[Company Tenure]]&lt;=10,"6-10",Table1[[#This Row],[Company Tenure]]&lt;=15,"11-15",Table1[[#This Row],[Company Tenure]]&lt;=20, "15-20",Table1[[#This Row],[Company Tenure]]&gt;20,"Above 20")</f>
        <v>6-10</v>
      </c>
    </row>
    <row r="397" spans="1:16" x14ac:dyDescent="0.25">
      <c r="A397" t="s">
        <v>859</v>
      </c>
      <c r="B397" t="s">
        <v>530</v>
      </c>
      <c r="C397" t="s">
        <v>104</v>
      </c>
      <c r="D397" t="s">
        <v>8</v>
      </c>
      <c r="E397">
        <v>28</v>
      </c>
      <c r="F397" t="s">
        <v>9</v>
      </c>
      <c r="G397" t="s">
        <v>17</v>
      </c>
      <c r="H397" s="2">
        <v>78310</v>
      </c>
      <c r="I397" s="1">
        <v>43537</v>
      </c>
      <c r="J397" s="3">
        <v>7</v>
      </c>
      <c r="K397" t="s">
        <v>731</v>
      </c>
      <c r="L397" t="s">
        <v>207</v>
      </c>
      <c r="M397">
        <v>4</v>
      </c>
      <c r="N397" t="str" cm="1">
        <f t="array" ref="N397">_xlfn.IFS(AND(24&lt;=Table1[[#This Row],[Age]],Table1[[#This Row],[Age]]&lt;=30),"24-30",Table1[[#This Row],[Age]]&lt;=35,"31-35",Table1[[#This Row],[Age]]&lt;=40,"36-40",Table1[[#This Row],[Age]]&lt;=45,"41-45",Table1[[#This Row],[Age]]&lt;=50,"46-50",Table1[[#This Row],[Age]]&lt;=55,"51-55",Table1[[#This Row],[Age]]&lt;=60,"56-60",Table1[[#This Row],[Age]]&lt;=66,"61-66")</f>
        <v>24-30</v>
      </c>
      <c r="O397" t="s">
        <v>1077</v>
      </c>
      <c r="P397" t="str" cm="1">
        <f t="array" ref="P397">_xlfn.IFS(Table1[[#This Row],[Company Tenure]]&lt;=5,"1-5",Table1[[#This Row],[Company Tenure]]&lt;=10,"6-10",Table1[[#This Row],[Company Tenure]]&lt;=15,"11-15",Table1[[#This Row],[Company Tenure]]&lt;=20, "15-20",Table1[[#This Row],[Company Tenure]]&gt;20,"Above 20")</f>
        <v>6-10</v>
      </c>
    </row>
    <row r="398" spans="1:16" x14ac:dyDescent="0.25">
      <c r="A398" t="s">
        <v>860</v>
      </c>
      <c r="B398" t="s">
        <v>94</v>
      </c>
      <c r="C398" t="s">
        <v>308</v>
      </c>
      <c r="D398" t="s">
        <v>8</v>
      </c>
      <c r="E398">
        <v>57</v>
      </c>
      <c r="F398" t="s">
        <v>154</v>
      </c>
      <c r="G398" t="s">
        <v>161</v>
      </c>
      <c r="H398" s="2">
        <v>96055</v>
      </c>
      <c r="I398" s="1">
        <v>40567</v>
      </c>
      <c r="J398" s="3">
        <v>15</v>
      </c>
      <c r="K398" t="s">
        <v>861</v>
      </c>
      <c r="L398" t="s">
        <v>25</v>
      </c>
      <c r="M398">
        <v>4</v>
      </c>
      <c r="N398" t="str" cm="1">
        <f t="array" ref="N398">_xlfn.IFS(AND(24&lt;=Table1[[#This Row],[Age]],Table1[[#This Row],[Age]]&lt;=30),"24-30",Table1[[#This Row],[Age]]&lt;=35,"31-35",Table1[[#This Row],[Age]]&lt;=40,"36-40",Table1[[#This Row],[Age]]&lt;=45,"41-45",Table1[[#This Row],[Age]]&lt;=50,"46-50",Table1[[#This Row],[Age]]&lt;=55,"51-55",Table1[[#This Row],[Age]]&lt;=60,"56-60",Table1[[#This Row],[Age]]&lt;=66,"61-66")</f>
        <v>56-60</v>
      </c>
      <c r="O398" t="s">
        <v>1077</v>
      </c>
      <c r="P398" t="str" cm="1">
        <f t="array" ref="P398">_xlfn.IFS(Table1[[#This Row],[Company Tenure]]&lt;=5,"1-5",Table1[[#This Row],[Company Tenure]]&lt;=10,"6-10",Table1[[#This Row],[Company Tenure]]&lt;=15,"11-15",Table1[[#This Row],[Company Tenure]]&lt;=20, "15-20",Table1[[#This Row],[Company Tenure]]&gt;20,"Above 20")</f>
        <v>11-15</v>
      </c>
    </row>
    <row r="399" spans="1:16" x14ac:dyDescent="0.25">
      <c r="A399" t="s">
        <v>862</v>
      </c>
      <c r="B399" t="s">
        <v>451</v>
      </c>
      <c r="C399" t="s">
        <v>375</v>
      </c>
      <c r="D399" t="s">
        <v>8</v>
      </c>
      <c r="E399">
        <v>38</v>
      </c>
      <c r="F399" t="s">
        <v>32</v>
      </c>
      <c r="G399" t="s">
        <v>44</v>
      </c>
      <c r="H399" s="2">
        <v>70472.5</v>
      </c>
      <c r="I399" s="1">
        <v>42539</v>
      </c>
      <c r="J399" s="3">
        <v>10</v>
      </c>
      <c r="K399" t="s">
        <v>863</v>
      </c>
      <c r="L399" t="s">
        <v>4</v>
      </c>
      <c r="M399">
        <v>3</v>
      </c>
      <c r="N399" t="str" cm="1">
        <f t="array" ref="N399">_xlfn.IFS(AND(24&lt;=Table1[[#This Row],[Age]],Table1[[#This Row],[Age]]&lt;=30),"24-30",Table1[[#This Row],[Age]]&lt;=35,"31-35",Table1[[#This Row],[Age]]&lt;=40,"36-40",Table1[[#This Row],[Age]]&lt;=45,"41-45",Table1[[#This Row],[Age]]&lt;=50,"46-50",Table1[[#This Row],[Age]]&lt;=55,"51-55",Table1[[#This Row],[Age]]&lt;=60,"56-60",Table1[[#This Row],[Age]]&lt;=66,"61-66")</f>
        <v>36-40</v>
      </c>
      <c r="O399" t="s">
        <v>1077</v>
      </c>
      <c r="P399" t="str" cm="1">
        <f t="array" ref="P399">_xlfn.IFS(Table1[[#This Row],[Company Tenure]]&lt;=5,"1-5",Table1[[#This Row],[Company Tenure]]&lt;=10,"6-10",Table1[[#This Row],[Company Tenure]]&lt;=15,"11-15",Table1[[#This Row],[Company Tenure]]&lt;=20, "15-20",Table1[[#This Row],[Company Tenure]]&gt;20,"Above 20")</f>
        <v>6-10</v>
      </c>
    </row>
    <row r="400" spans="1:16" x14ac:dyDescent="0.25">
      <c r="A400" t="s">
        <v>864</v>
      </c>
      <c r="B400" t="s">
        <v>6</v>
      </c>
      <c r="C400" t="s">
        <v>799</v>
      </c>
      <c r="D400" t="s">
        <v>1</v>
      </c>
      <c r="E400">
        <v>52</v>
      </c>
      <c r="F400" t="s">
        <v>142</v>
      </c>
      <c r="G400" t="s">
        <v>17</v>
      </c>
      <c r="H400" s="2">
        <v>55032.01</v>
      </c>
      <c r="I400" s="1">
        <v>43810</v>
      </c>
      <c r="J400" s="3">
        <v>6</v>
      </c>
      <c r="K400" t="s">
        <v>865</v>
      </c>
      <c r="L400" t="s">
        <v>85</v>
      </c>
      <c r="M400">
        <v>3</v>
      </c>
      <c r="N400" t="str" cm="1">
        <f t="array" ref="N400">_xlfn.IFS(AND(24&lt;=Table1[[#This Row],[Age]],Table1[[#This Row],[Age]]&lt;=30),"24-30",Table1[[#This Row],[Age]]&lt;=35,"31-35",Table1[[#This Row],[Age]]&lt;=40,"36-40",Table1[[#This Row],[Age]]&lt;=45,"41-45",Table1[[#This Row],[Age]]&lt;=50,"46-50",Table1[[#This Row],[Age]]&lt;=55,"51-55",Table1[[#This Row],[Age]]&lt;=60,"56-60",Table1[[#This Row],[Age]]&lt;=66,"61-66")</f>
        <v>51-55</v>
      </c>
      <c r="O400" t="s">
        <v>1077</v>
      </c>
      <c r="P400" t="str" cm="1">
        <f t="array" ref="P400">_xlfn.IFS(Table1[[#This Row],[Company Tenure]]&lt;=5,"1-5",Table1[[#This Row],[Company Tenure]]&lt;=10,"6-10",Table1[[#This Row],[Company Tenure]]&lt;=15,"11-15",Table1[[#This Row],[Company Tenure]]&lt;=20, "15-20",Table1[[#This Row],[Company Tenure]]&gt;20,"Above 20")</f>
        <v>6-10</v>
      </c>
    </row>
    <row r="401" spans="1:16" x14ac:dyDescent="0.25">
      <c r="A401" t="s">
        <v>866</v>
      </c>
      <c r="B401" t="s">
        <v>401</v>
      </c>
      <c r="C401" t="s">
        <v>375</v>
      </c>
      <c r="D401" t="s">
        <v>23</v>
      </c>
      <c r="E401">
        <v>24</v>
      </c>
      <c r="F401" t="s">
        <v>133</v>
      </c>
      <c r="G401" t="s">
        <v>63</v>
      </c>
      <c r="H401" s="2">
        <v>62522</v>
      </c>
      <c r="I401" s="1">
        <v>45589</v>
      </c>
      <c r="J401" s="3">
        <v>1</v>
      </c>
      <c r="K401" t="s">
        <v>867</v>
      </c>
      <c r="L401" t="s">
        <v>14</v>
      </c>
      <c r="M401">
        <v>3</v>
      </c>
      <c r="N401" t="str" cm="1">
        <f t="array" ref="N401">_xlfn.IFS(AND(24&lt;=Table1[[#This Row],[Age]],Table1[[#This Row],[Age]]&lt;=30),"24-30",Table1[[#This Row],[Age]]&lt;=35,"31-35",Table1[[#This Row],[Age]]&lt;=40,"36-40",Table1[[#This Row],[Age]]&lt;=45,"41-45",Table1[[#This Row],[Age]]&lt;=50,"46-50",Table1[[#This Row],[Age]]&lt;=55,"51-55",Table1[[#This Row],[Age]]&lt;=60,"56-60",Table1[[#This Row],[Age]]&lt;=66,"61-66")</f>
        <v>24-30</v>
      </c>
      <c r="O401" t="s">
        <v>1077</v>
      </c>
      <c r="P401" t="str" cm="1">
        <f t="array" ref="P401">_xlfn.IFS(Table1[[#This Row],[Company Tenure]]&lt;=5,"1-5",Table1[[#This Row],[Company Tenure]]&lt;=10,"6-10",Table1[[#This Row],[Company Tenure]]&lt;=15,"11-15",Table1[[#This Row],[Company Tenure]]&lt;=20, "15-20",Table1[[#This Row],[Company Tenure]]&gt;20,"Above 20")</f>
        <v>1-5</v>
      </c>
    </row>
    <row r="402" spans="1:16" x14ac:dyDescent="0.25">
      <c r="A402" t="s">
        <v>868</v>
      </c>
      <c r="B402" t="s">
        <v>30</v>
      </c>
      <c r="C402" t="s">
        <v>59</v>
      </c>
      <c r="D402" t="s">
        <v>23</v>
      </c>
      <c r="E402">
        <v>24</v>
      </c>
      <c r="F402" t="s">
        <v>36</v>
      </c>
      <c r="G402" t="s">
        <v>44</v>
      </c>
      <c r="H402" s="2">
        <v>82760</v>
      </c>
      <c r="I402" s="1">
        <v>44891</v>
      </c>
      <c r="J402" s="3">
        <v>3</v>
      </c>
      <c r="K402" t="s">
        <v>368</v>
      </c>
      <c r="L402" t="s">
        <v>28</v>
      </c>
      <c r="M402">
        <v>4</v>
      </c>
      <c r="N402" t="str" cm="1">
        <f t="array" ref="N402">_xlfn.IFS(AND(24&lt;=Table1[[#This Row],[Age]],Table1[[#This Row],[Age]]&lt;=30),"24-30",Table1[[#This Row],[Age]]&lt;=35,"31-35",Table1[[#This Row],[Age]]&lt;=40,"36-40",Table1[[#This Row],[Age]]&lt;=45,"41-45",Table1[[#This Row],[Age]]&lt;=50,"46-50",Table1[[#This Row],[Age]]&lt;=55,"51-55",Table1[[#This Row],[Age]]&lt;=60,"56-60",Table1[[#This Row],[Age]]&lt;=66,"61-66")</f>
        <v>24-30</v>
      </c>
      <c r="O402" t="s">
        <v>1077</v>
      </c>
      <c r="P402" t="str" cm="1">
        <f t="array" ref="P402">_xlfn.IFS(Table1[[#This Row],[Company Tenure]]&lt;=5,"1-5",Table1[[#This Row],[Company Tenure]]&lt;=10,"6-10",Table1[[#This Row],[Company Tenure]]&lt;=15,"11-15",Table1[[#This Row],[Company Tenure]]&lt;=20, "15-20",Table1[[#This Row],[Company Tenure]]&gt;20,"Above 20")</f>
        <v>1-5</v>
      </c>
    </row>
    <row r="403" spans="1:16" x14ac:dyDescent="0.25">
      <c r="A403" t="s">
        <v>869</v>
      </c>
      <c r="B403" t="s">
        <v>378</v>
      </c>
      <c r="C403" t="s">
        <v>83</v>
      </c>
      <c r="D403" t="s">
        <v>23</v>
      </c>
      <c r="E403">
        <v>45</v>
      </c>
      <c r="F403" t="s">
        <v>181</v>
      </c>
      <c r="G403" t="s">
        <v>44</v>
      </c>
      <c r="H403" s="2">
        <v>47614.05</v>
      </c>
      <c r="I403" s="1">
        <v>40597</v>
      </c>
      <c r="J403" s="3">
        <v>15</v>
      </c>
      <c r="K403" t="s">
        <v>837</v>
      </c>
      <c r="L403" t="s">
        <v>14</v>
      </c>
      <c r="M403">
        <v>4</v>
      </c>
      <c r="N403" t="str" cm="1">
        <f t="array" ref="N403">_xlfn.IFS(AND(24&lt;=Table1[[#This Row],[Age]],Table1[[#This Row],[Age]]&lt;=30),"24-30",Table1[[#This Row],[Age]]&lt;=35,"31-35",Table1[[#This Row],[Age]]&lt;=40,"36-40",Table1[[#This Row],[Age]]&lt;=45,"41-45",Table1[[#This Row],[Age]]&lt;=50,"46-50",Table1[[#This Row],[Age]]&lt;=55,"51-55",Table1[[#This Row],[Age]]&lt;=60,"56-60",Table1[[#This Row],[Age]]&lt;=66,"61-66")</f>
        <v>41-45</v>
      </c>
      <c r="O403" t="s">
        <v>1076</v>
      </c>
      <c r="P403" t="str" cm="1">
        <f t="array" ref="P403">_xlfn.IFS(Table1[[#This Row],[Company Tenure]]&lt;=5,"1-5",Table1[[#This Row],[Company Tenure]]&lt;=10,"6-10",Table1[[#This Row],[Company Tenure]]&lt;=15,"11-15",Table1[[#This Row],[Company Tenure]]&lt;=20, "15-20",Table1[[#This Row],[Company Tenure]]&gt;20,"Above 20")</f>
        <v>11-15</v>
      </c>
    </row>
    <row r="404" spans="1:16" x14ac:dyDescent="0.25">
      <c r="A404" t="s">
        <v>870</v>
      </c>
      <c r="B404" t="s">
        <v>355</v>
      </c>
      <c r="C404" t="s">
        <v>269</v>
      </c>
      <c r="D404" t="s">
        <v>23</v>
      </c>
      <c r="E404">
        <v>37</v>
      </c>
      <c r="F404" t="s">
        <v>133</v>
      </c>
      <c r="G404" t="s">
        <v>44</v>
      </c>
      <c r="H404" s="2">
        <v>57312</v>
      </c>
      <c r="I404" s="1">
        <v>44809</v>
      </c>
      <c r="J404" s="3">
        <v>4</v>
      </c>
      <c r="K404" t="s">
        <v>871</v>
      </c>
      <c r="L404" t="s">
        <v>85</v>
      </c>
      <c r="M404">
        <v>3</v>
      </c>
      <c r="N404" t="str" cm="1">
        <f t="array" ref="N404">_xlfn.IFS(AND(24&lt;=Table1[[#This Row],[Age]],Table1[[#This Row],[Age]]&lt;=30),"24-30",Table1[[#This Row],[Age]]&lt;=35,"31-35",Table1[[#This Row],[Age]]&lt;=40,"36-40",Table1[[#This Row],[Age]]&lt;=45,"41-45",Table1[[#This Row],[Age]]&lt;=50,"46-50",Table1[[#This Row],[Age]]&lt;=55,"51-55",Table1[[#This Row],[Age]]&lt;=60,"56-60",Table1[[#This Row],[Age]]&lt;=66,"61-66")</f>
        <v>36-40</v>
      </c>
      <c r="O404" t="s">
        <v>1077</v>
      </c>
      <c r="P404" t="str" cm="1">
        <f t="array" ref="P404">_xlfn.IFS(Table1[[#This Row],[Company Tenure]]&lt;=5,"1-5",Table1[[#This Row],[Company Tenure]]&lt;=10,"6-10",Table1[[#This Row],[Company Tenure]]&lt;=15,"11-15",Table1[[#This Row],[Company Tenure]]&lt;=20, "15-20",Table1[[#This Row],[Company Tenure]]&gt;20,"Above 20")</f>
        <v>1-5</v>
      </c>
    </row>
    <row r="405" spans="1:16" x14ac:dyDescent="0.25">
      <c r="A405" t="s">
        <v>872</v>
      </c>
      <c r="B405" t="s">
        <v>714</v>
      </c>
      <c r="C405" t="s">
        <v>7</v>
      </c>
      <c r="D405" t="s">
        <v>23</v>
      </c>
      <c r="E405">
        <v>34</v>
      </c>
      <c r="F405" t="s">
        <v>36</v>
      </c>
      <c r="G405" t="s">
        <v>2</v>
      </c>
      <c r="H405" s="2">
        <v>124001</v>
      </c>
      <c r="I405" s="1">
        <v>43595</v>
      </c>
      <c r="J405" s="3">
        <v>7</v>
      </c>
      <c r="K405" t="s">
        <v>873</v>
      </c>
      <c r="L405" t="s">
        <v>28</v>
      </c>
      <c r="M405">
        <v>5</v>
      </c>
      <c r="N405" t="str" cm="1">
        <f t="array" ref="N405">_xlfn.IFS(AND(24&lt;=Table1[[#This Row],[Age]],Table1[[#This Row],[Age]]&lt;=30),"24-30",Table1[[#This Row],[Age]]&lt;=35,"31-35",Table1[[#This Row],[Age]]&lt;=40,"36-40",Table1[[#This Row],[Age]]&lt;=45,"41-45",Table1[[#This Row],[Age]]&lt;=50,"46-50",Table1[[#This Row],[Age]]&lt;=55,"51-55",Table1[[#This Row],[Age]]&lt;=60,"56-60",Table1[[#This Row],[Age]]&lt;=66,"61-66")</f>
        <v>31-35</v>
      </c>
      <c r="O405" t="s">
        <v>1074</v>
      </c>
      <c r="P405" t="str" cm="1">
        <f t="array" ref="P405">_xlfn.IFS(Table1[[#This Row],[Company Tenure]]&lt;=5,"1-5",Table1[[#This Row],[Company Tenure]]&lt;=10,"6-10",Table1[[#This Row],[Company Tenure]]&lt;=15,"11-15",Table1[[#This Row],[Company Tenure]]&lt;=20, "15-20",Table1[[#This Row],[Company Tenure]]&gt;20,"Above 20")</f>
        <v>6-10</v>
      </c>
    </row>
    <row r="406" spans="1:16" x14ac:dyDescent="0.25">
      <c r="A406" t="s">
        <v>874</v>
      </c>
      <c r="B406" t="s">
        <v>94</v>
      </c>
      <c r="C406" t="s">
        <v>351</v>
      </c>
      <c r="D406" t="s">
        <v>8</v>
      </c>
      <c r="E406">
        <v>38</v>
      </c>
      <c r="F406" t="s">
        <v>181</v>
      </c>
      <c r="G406" t="s">
        <v>100</v>
      </c>
      <c r="H406" s="2">
        <v>50394.165000000001</v>
      </c>
      <c r="I406" s="1">
        <v>41574</v>
      </c>
      <c r="J406" s="3">
        <v>12</v>
      </c>
      <c r="K406" t="s">
        <v>875</v>
      </c>
      <c r="L406" t="s">
        <v>11</v>
      </c>
      <c r="M406">
        <v>3</v>
      </c>
      <c r="N406" t="str" cm="1">
        <f t="array" ref="N406">_xlfn.IFS(AND(24&lt;=Table1[[#This Row],[Age]],Table1[[#This Row],[Age]]&lt;=30),"24-30",Table1[[#This Row],[Age]]&lt;=35,"31-35",Table1[[#This Row],[Age]]&lt;=40,"36-40",Table1[[#This Row],[Age]]&lt;=45,"41-45",Table1[[#This Row],[Age]]&lt;=50,"46-50",Table1[[#This Row],[Age]]&lt;=55,"51-55",Table1[[#This Row],[Age]]&lt;=60,"56-60",Table1[[#This Row],[Age]]&lt;=66,"61-66")</f>
        <v>36-40</v>
      </c>
      <c r="O406" t="s">
        <v>1077</v>
      </c>
      <c r="P406" t="str" cm="1">
        <f t="array" ref="P406">_xlfn.IFS(Table1[[#This Row],[Company Tenure]]&lt;=5,"1-5",Table1[[#This Row],[Company Tenure]]&lt;=10,"6-10",Table1[[#This Row],[Company Tenure]]&lt;=15,"11-15",Table1[[#This Row],[Company Tenure]]&lt;=20, "15-20",Table1[[#This Row],[Company Tenure]]&gt;20,"Above 20")</f>
        <v>11-15</v>
      </c>
    </row>
    <row r="407" spans="1:16" x14ac:dyDescent="0.25">
      <c r="A407" t="s">
        <v>876</v>
      </c>
      <c r="B407" t="s">
        <v>127</v>
      </c>
      <c r="C407" t="s">
        <v>180</v>
      </c>
      <c r="D407" t="s">
        <v>23</v>
      </c>
      <c r="E407">
        <v>44</v>
      </c>
      <c r="F407" t="s">
        <v>133</v>
      </c>
      <c r="G407" t="s">
        <v>17</v>
      </c>
      <c r="H407" s="2">
        <v>55739</v>
      </c>
      <c r="I407" s="1">
        <v>42090</v>
      </c>
      <c r="J407" s="3">
        <v>11</v>
      </c>
      <c r="K407" t="s">
        <v>877</v>
      </c>
      <c r="L407" t="s">
        <v>85</v>
      </c>
      <c r="M407">
        <v>3</v>
      </c>
      <c r="N407" t="str" cm="1">
        <f t="array" ref="N407">_xlfn.IFS(AND(24&lt;=Table1[[#This Row],[Age]],Table1[[#This Row],[Age]]&lt;=30),"24-30",Table1[[#This Row],[Age]]&lt;=35,"31-35",Table1[[#This Row],[Age]]&lt;=40,"36-40",Table1[[#This Row],[Age]]&lt;=45,"41-45",Table1[[#This Row],[Age]]&lt;=50,"46-50",Table1[[#This Row],[Age]]&lt;=55,"51-55",Table1[[#This Row],[Age]]&lt;=60,"56-60",Table1[[#This Row],[Age]]&lt;=66,"61-66")</f>
        <v>41-45</v>
      </c>
      <c r="O407" t="s">
        <v>1077</v>
      </c>
      <c r="P407" t="str" cm="1">
        <f t="array" ref="P407">_xlfn.IFS(Table1[[#This Row],[Company Tenure]]&lt;=5,"1-5",Table1[[#This Row],[Company Tenure]]&lt;=10,"6-10",Table1[[#This Row],[Company Tenure]]&lt;=15,"11-15",Table1[[#This Row],[Company Tenure]]&lt;=20, "15-20",Table1[[#This Row],[Company Tenure]]&gt;20,"Above 20")</f>
        <v>11-15</v>
      </c>
    </row>
    <row r="408" spans="1:16" x14ac:dyDescent="0.25">
      <c r="A408" t="s">
        <v>878</v>
      </c>
      <c r="B408" t="s">
        <v>94</v>
      </c>
      <c r="C408" t="s">
        <v>118</v>
      </c>
      <c r="D408" t="s">
        <v>8</v>
      </c>
      <c r="E408">
        <v>30</v>
      </c>
      <c r="F408" t="s">
        <v>36</v>
      </c>
      <c r="G408" t="s">
        <v>100</v>
      </c>
      <c r="H408" s="2">
        <v>87361.8</v>
      </c>
      <c r="I408" s="1">
        <v>43614</v>
      </c>
      <c r="J408" s="3">
        <v>7</v>
      </c>
      <c r="K408" t="s">
        <v>879</v>
      </c>
      <c r="L408" t="s">
        <v>120</v>
      </c>
      <c r="M408">
        <v>3</v>
      </c>
      <c r="N408" t="str" cm="1">
        <f t="array" ref="N408">_xlfn.IFS(AND(24&lt;=Table1[[#This Row],[Age]],Table1[[#This Row],[Age]]&lt;=30),"24-30",Table1[[#This Row],[Age]]&lt;=35,"31-35",Table1[[#This Row],[Age]]&lt;=40,"36-40",Table1[[#This Row],[Age]]&lt;=45,"41-45",Table1[[#This Row],[Age]]&lt;=50,"46-50",Table1[[#This Row],[Age]]&lt;=55,"51-55",Table1[[#This Row],[Age]]&lt;=60,"56-60",Table1[[#This Row],[Age]]&lt;=66,"61-66")</f>
        <v>24-30</v>
      </c>
      <c r="O408" t="s">
        <v>1077</v>
      </c>
      <c r="P408" t="str" cm="1">
        <f t="array" ref="P408">_xlfn.IFS(Table1[[#This Row],[Company Tenure]]&lt;=5,"1-5",Table1[[#This Row],[Company Tenure]]&lt;=10,"6-10",Table1[[#This Row],[Company Tenure]]&lt;=15,"11-15",Table1[[#This Row],[Company Tenure]]&lt;=20, "15-20",Table1[[#This Row],[Company Tenure]]&gt;20,"Above 20")</f>
        <v>6-10</v>
      </c>
    </row>
    <row r="409" spans="1:16" x14ac:dyDescent="0.25">
      <c r="A409" t="s">
        <v>880</v>
      </c>
      <c r="B409" t="s">
        <v>56</v>
      </c>
      <c r="C409" t="s">
        <v>153</v>
      </c>
      <c r="D409" t="s">
        <v>1</v>
      </c>
      <c r="E409">
        <v>31</v>
      </c>
      <c r="F409" t="s">
        <v>203</v>
      </c>
      <c r="G409" t="s">
        <v>17</v>
      </c>
      <c r="H409" s="2">
        <v>57971</v>
      </c>
      <c r="I409" s="1">
        <v>44956</v>
      </c>
      <c r="J409" s="3">
        <v>3</v>
      </c>
      <c r="K409" t="s">
        <v>881</v>
      </c>
      <c r="L409" t="s">
        <v>54</v>
      </c>
      <c r="M409">
        <v>3</v>
      </c>
      <c r="N409" t="str" cm="1">
        <f t="array" ref="N409">_xlfn.IFS(AND(24&lt;=Table1[[#This Row],[Age]],Table1[[#This Row],[Age]]&lt;=30),"24-30",Table1[[#This Row],[Age]]&lt;=35,"31-35",Table1[[#This Row],[Age]]&lt;=40,"36-40",Table1[[#This Row],[Age]]&lt;=45,"41-45",Table1[[#This Row],[Age]]&lt;=50,"46-50",Table1[[#This Row],[Age]]&lt;=55,"51-55",Table1[[#This Row],[Age]]&lt;=60,"56-60",Table1[[#This Row],[Age]]&lt;=66,"61-66")</f>
        <v>31-35</v>
      </c>
      <c r="O409" t="s">
        <v>1077</v>
      </c>
      <c r="P409" t="str" cm="1">
        <f t="array" ref="P409">_xlfn.IFS(Table1[[#This Row],[Company Tenure]]&lt;=5,"1-5",Table1[[#This Row],[Company Tenure]]&lt;=10,"6-10",Table1[[#This Row],[Company Tenure]]&lt;=15,"11-15",Table1[[#This Row],[Company Tenure]]&lt;=20, "15-20",Table1[[#This Row],[Company Tenure]]&gt;20,"Above 20")</f>
        <v>1-5</v>
      </c>
    </row>
    <row r="410" spans="1:16" x14ac:dyDescent="0.25">
      <c r="A410" t="s">
        <v>882</v>
      </c>
      <c r="B410" t="s">
        <v>229</v>
      </c>
      <c r="C410" t="s">
        <v>427</v>
      </c>
      <c r="D410" t="s">
        <v>23</v>
      </c>
      <c r="E410">
        <v>28</v>
      </c>
      <c r="F410" t="s">
        <v>32</v>
      </c>
      <c r="G410" t="s">
        <v>17</v>
      </c>
      <c r="H410" s="2">
        <v>80305</v>
      </c>
      <c r="I410" s="1">
        <v>43847</v>
      </c>
      <c r="J410" s="3">
        <v>6</v>
      </c>
      <c r="K410" t="s">
        <v>883</v>
      </c>
      <c r="L410" t="s">
        <v>85</v>
      </c>
      <c r="M410">
        <v>3</v>
      </c>
      <c r="N410" t="str" cm="1">
        <f t="array" ref="N410">_xlfn.IFS(AND(24&lt;=Table1[[#This Row],[Age]],Table1[[#This Row],[Age]]&lt;=30),"24-30",Table1[[#This Row],[Age]]&lt;=35,"31-35",Table1[[#This Row],[Age]]&lt;=40,"36-40",Table1[[#This Row],[Age]]&lt;=45,"41-45",Table1[[#This Row],[Age]]&lt;=50,"46-50",Table1[[#This Row],[Age]]&lt;=55,"51-55",Table1[[#This Row],[Age]]&lt;=60,"56-60",Table1[[#This Row],[Age]]&lt;=66,"61-66")</f>
        <v>24-30</v>
      </c>
      <c r="O410" t="s">
        <v>1077</v>
      </c>
      <c r="P410" t="str" cm="1">
        <f t="array" ref="P410">_xlfn.IFS(Table1[[#This Row],[Company Tenure]]&lt;=5,"1-5",Table1[[#This Row],[Company Tenure]]&lt;=10,"6-10",Table1[[#This Row],[Company Tenure]]&lt;=15,"11-15",Table1[[#This Row],[Company Tenure]]&lt;=20, "15-20",Table1[[#This Row],[Company Tenure]]&gt;20,"Above 20")</f>
        <v>6-10</v>
      </c>
    </row>
    <row r="411" spans="1:16" x14ac:dyDescent="0.25">
      <c r="A411" t="s">
        <v>884</v>
      </c>
      <c r="B411" t="s">
        <v>221</v>
      </c>
      <c r="C411" t="s">
        <v>394</v>
      </c>
      <c r="D411" t="s">
        <v>1</v>
      </c>
      <c r="E411">
        <v>47</v>
      </c>
      <c r="F411" t="s">
        <v>313</v>
      </c>
      <c r="G411" t="s">
        <v>44</v>
      </c>
      <c r="H411" s="2">
        <v>90015</v>
      </c>
      <c r="I411" s="1">
        <v>41248</v>
      </c>
      <c r="J411" s="3">
        <v>13</v>
      </c>
      <c r="K411" t="s">
        <v>885</v>
      </c>
      <c r="L411" t="s">
        <v>107</v>
      </c>
      <c r="M411">
        <v>3</v>
      </c>
      <c r="N411" t="str" cm="1">
        <f t="array" ref="N411">_xlfn.IFS(AND(24&lt;=Table1[[#This Row],[Age]],Table1[[#This Row],[Age]]&lt;=30),"24-30",Table1[[#This Row],[Age]]&lt;=35,"31-35",Table1[[#This Row],[Age]]&lt;=40,"36-40",Table1[[#This Row],[Age]]&lt;=45,"41-45",Table1[[#This Row],[Age]]&lt;=50,"46-50",Table1[[#This Row],[Age]]&lt;=55,"51-55",Table1[[#This Row],[Age]]&lt;=60,"56-60",Table1[[#This Row],[Age]]&lt;=66,"61-66")</f>
        <v>46-50</v>
      </c>
      <c r="O411" t="s">
        <v>1077</v>
      </c>
      <c r="P411" t="str" cm="1">
        <f t="array" ref="P411">_xlfn.IFS(Table1[[#This Row],[Company Tenure]]&lt;=5,"1-5",Table1[[#This Row],[Company Tenure]]&lt;=10,"6-10",Table1[[#This Row],[Company Tenure]]&lt;=15,"11-15",Table1[[#This Row],[Company Tenure]]&lt;=20, "15-20",Table1[[#This Row],[Company Tenure]]&gt;20,"Above 20")</f>
        <v>11-15</v>
      </c>
    </row>
    <row r="412" spans="1:16" x14ac:dyDescent="0.25">
      <c r="A412" t="s">
        <v>886</v>
      </c>
      <c r="B412" t="s">
        <v>132</v>
      </c>
      <c r="C412" t="s">
        <v>118</v>
      </c>
      <c r="D412" t="s">
        <v>23</v>
      </c>
      <c r="E412">
        <v>44</v>
      </c>
      <c r="F412" t="s">
        <v>1066</v>
      </c>
      <c r="G412" t="s">
        <v>63</v>
      </c>
      <c r="H412" s="2">
        <v>67257</v>
      </c>
      <c r="I412" s="1">
        <v>43021</v>
      </c>
      <c r="J412" s="3">
        <v>8</v>
      </c>
      <c r="K412" t="s">
        <v>887</v>
      </c>
      <c r="L412" t="s">
        <v>85</v>
      </c>
      <c r="M412">
        <v>3</v>
      </c>
      <c r="N412" t="str" cm="1">
        <f t="array" ref="N412">_xlfn.IFS(AND(24&lt;=Table1[[#This Row],[Age]],Table1[[#This Row],[Age]]&lt;=30),"24-30",Table1[[#This Row],[Age]]&lt;=35,"31-35",Table1[[#This Row],[Age]]&lt;=40,"36-40",Table1[[#This Row],[Age]]&lt;=45,"41-45",Table1[[#This Row],[Age]]&lt;=50,"46-50",Table1[[#This Row],[Age]]&lt;=55,"51-55",Table1[[#This Row],[Age]]&lt;=60,"56-60",Table1[[#This Row],[Age]]&lt;=66,"61-66")</f>
        <v>41-45</v>
      </c>
      <c r="O412" t="s">
        <v>1077</v>
      </c>
      <c r="P412" t="str" cm="1">
        <f t="array" ref="P412">_xlfn.IFS(Table1[[#This Row],[Company Tenure]]&lt;=5,"1-5",Table1[[#This Row],[Company Tenure]]&lt;=10,"6-10",Table1[[#This Row],[Company Tenure]]&lt;=15,"11-15",Table1[[#This Row],[Company Tenure]]&lt;=20, "15-20",Table1[[#This Row],[Company Tenure]]&gt;20,"Above 20")</f>
        <v>6-10</v>
      </c>
    </row>
    <row r="413" spans="1:16" x14ac:dyDescent="0.25">
      <c r="A413" t="s">
        <v>888</v>
      </c>
      <c r="B413" t="s">
        <v>232</v>
      </c>
      <c r="C413" t="s">
        <v>452</v>
      </c>
      <c r="D413" t="s">
        <v>8</v>
      </c>
      <c r="E413">
        <v>46</v>
      </c>
      <c r="F413" t="s">
        <v>295</v>
      </c>
      <c r="G413" t="s">
        <v>63</v>
      </c>
      <c r="H413" s="2">
        <v>72366</v>
      </c>
      <c r="I413" s="1">
        <v>40129</v>
      </c>
      <c r="J413" s="3">
        <v>16</v>
      </c>
      <c r="K413" t="s">
        <v>889</v>
      </c>
      <c r="L413" t="s">
        <v>28</v>
      </c>
      <c r="M413">
        <v>1</v>
      </c>
      <c r="N413" t="str" cm="1">
        <f t="array" ref="N413">_xlfn.IFS(AND(24&lt;=Table1[[#This Row],[Age]],Table1[[#This Row],[Age]]&lt;=30),"24-30",Table1[[#This Row],[Age]]&lt;=35,"31-35",Table1[[#This Row],[Age]]&lt;=40,"36-40",Table1[[#This Row],[Age]]&lt;=45,"41-45",Table1[[#This Row],[Age]]&lt;=50,"46-50",Table1[[#This Row],[Age]]&lt;=55,"51-55",Table1[[#This Row],[Age]]&lt;=60,"56-60",Table1[[#This Row],[Age]]&lt;=66,"61-66")</f>
        <v>46-50</v>
      </c>
      <c r="O413" t="s">
        <v>1077</v>
      </c>
      <c r="P413" t="str" cm="1">
        <f t="array" ref="P413">_xlfn.IFS(Table1[[#This Row],[Company Tenure]]&lt;=5,"1-5",Table1[[#This Row],[Company Tenure]]&lt;=10,"6-10",Table1[[#This Row],[Company Tenure]]&lt;=15,"11-15",Table1[[#This Row],[Company Tenure]]&lt;=20, "15-20",Table1[[#This Row],[Company Tenure]]&gt;20,"Above 20")</f>
        <v>15-20</v>
      </c>
    </row>
    <row r="414" spans="1:16" x14ac:dyDescent="0.25">
      <c r="A414" t="s">
        <v>890</v>
      </c>
      <c r="B414" t="s">
        <v>714</v>
      </c>
      <c r="C414" t="s">
        <v>22</v>
      </c>
      <c r="D414" t="s">
        <v>23</v>
      </c>
      <c r="E414">
        <v>31</v>
      </c>
      <c r="F414" t="s">
        <v>32</v>
      </c>
      <c r="G414" t="s">
        <v>63</v>
      </c>
      <c r="H414" s="2">
        <v>80921</v>
      </c>
      <c r="I414" s="1">
        <v>42825</v>
      </c>
      <c r="J414" s="3">
        <v>9</v>
      </c>
      <c r="K414" t="s">
        <v>891</v>
      </c>
      <c r="L414" t="s">
        <v>120</v>
      </c>
      <c r="M414">
        <v>4</v>
      </c>
      <c r="N414" t="str" cm="1">
        <f t="array" ref="N414">_xlfn.IFS(AND(24&lt;=Table1[[#This Row],[Age]],Table1[[#This Row],[Age]]&lt;=30),"24-30",Table1[[#This Row],[Age]]&lt;=35,"31-35",Table1[[#This Row],[Age]]&lt;=40,"36-40",Table1[[#This Row],[Age]]&lt;=45,"41-45",Table1[[#This Row],[Age]]&lt;=50,"46-50",Table1[[#This Row],[Age]]&lt;=55,"51-55",Table1[[#This Row],[Age]]&lt;=60,"56-60",Table1[[#This Row],[Age]]&lt;=66,"61-66")</f>
        <v>31-35</v>
      </c>
      <c r="O414" t="s">
        <v>1077</v>
      </c>
      <c r="P414" t="str" cm="1">
        <f t="array" ref="P414">_xlfn.IFS(Table1[[#This Row],[Company Tenure]]&lt;=5,"1-5",Table1[[#This Row],[Company Tenure]]&lt;=10,"6-10",Table1[[#This Row],[Company Tenure]]&lt;=15,"11-15",Table1[[#This Row],[Company Tenure]]&lt;=20, "15-20",Table1[[#This Row],[Company Tenure]]&gt;20,"Above 20")</f>
        <v>6-10</v>
      </c>
    </row>
    <row r="415" spans="1:16" x14ac:dyDescent="0.25">
      <c r="A415" t="s">
        <v>892</v>
      </c>
      <c r="B415" t="s">
        <v>56</v>
      </c>
      <c r="C415" t="s">
        <v>35</v>
      </c>
      <c r="D415" t="s">
        <v>23</v>
      </c>
      <c r="E415">
        <v>48</v>
      </c>
      <c r="F415" t="s">
        <v>313</v>
      </c>
      <c r="G415" t="s">
        <v>17</v>
      </c>
      <c r="H415" s="2">
        <v>109713</v>
      </c>
      <c r="I415" s="1">
        <v>41085</v>
      </c>
      <c r="J415" s="3">
        <v>14</v>
      </c>
      <c r="K415" t="s">
        <v>893</v>
      </c>
      <c r="L415" t="s">
        <v>65</v>
      </c>
      <c r="M415">
        <v>3</v>
      </c>
      <c r="N415" t="str" cm="1">
        <f t="array" ref="N415">_xlfn.IFS(AND(24&lt;=Table1[[#This Row],[Age]],Table1[[#This Row],[Age]]&lt;=30),"24-30",Table1[[#This Row],[Age]]&lt;=35,"31-35",Table1[[#This Row],[Age]]&lt;=40,"36-40",Table1[[#This Row],[Age]]&lt;=45,"41-45",Table1[[#This Row],[Age]]&lt;=50,"46-50",Table1[[#This Row],[Age]]&lt;=55,"51-55",Table1[[#This Row],[Age]]&lt;=60,"56-60",Table1[[#This Row],[Age]]&lt;=66,"61-66")</f>
        <v>46-50</v>
      </c>
      <c r="O415" t="s">
        <v>1074</v>
      </c>
      <c r="P415" t="str" cm="1">
        <f t="array" ref="P415">_xlfn.IFS(Table1[[#This Row],[Company Tenure]]&lt;=5,"1-5",Table1[[#This Row],[Company Tenure]]&lt;=10,"6-10",Table1[[#This Row],[Company Tenure]]&lt;=15,"11-15",Table1[[#This Row],[Company Tenure]]&lt;=20, "15-20",Table1[[#This Row],[Company Tenure]]&gt;20,"Above 20")</f>
        <v>11-15</v>
      </c>
    </row>
    <row r="416" spans="1:16" x14ac:dyDescent="0.25">
      <c r="A416" t="s">
        <v>894</v>
      </c>
      <c r="B416" t="s">
        <v>334</v>
      </c>
      <c r="C416" t="s">
        <v>166</v>
      </c>
      <c r="D416" t="s">
        <v>1</v>
      </c>
      <c r="E416">
        <v>52</v>
      </c>
      <c r="F416" t="s">
        <v>36</v>
      </c>
      <c r="G416" t="s">
        <v>44</v>
      </c>
      <c r="H416" s="2">
        <v>79853</v>
      </c>
      <c r="I416" s="1">
        <v>44683</v>
      </c>
      <c r="J416" s="3">
        <v>4</v>
      </c>
      <c r="K416" t="s">
        <v>693</v>
      </c>
      <c r="L416" t="s">
        <v>28</v>
      </c>
      <c r="M416">
        <v>2</v>
      </c>
      <c r="N416" t="str" cm="1">
        <f t="array" ref="N416">_xlfn.IFS(AND(24&lt;=Table1[[#This Row],[Age]],Table1[[#This Row],[Age]]&lt;=30),"24-30",Table1[[#This Row],[Age]]&lt;=35,"31-35",Table1[[#This Row],[Age]]&lt;=40,"36-40",Table1[[#This Row],[Age]]&lt;=45,"41-45",Table1[[#This Row],[Age]]&lt;=50,"46-50",Table1[[#This Row],[Age]]&lt;=55,"51-55",Table1[[#This Row],[Age]]&lt;=60,"56-60",Table1[[#This Row],[Age]]&lt;=66,"61-66")</f>
        <v>51-55</v>
      </c>
      <c r="O416" t="s">
        <v>1077</v>
      </c>
      <c r="P416" t="str" cm="1">
        <f t="array" ref="P416">_xlfn.IFS(Table1[[#This Row],[Company Tenure]]&lt;=5,"1-5",Table1[[#This Row],[Company Tenure]]&lt;=10,"6-10",Table1[[#This Row],[Company Tenure]]&lt;=15,"11-15",Table1[[#This Row],[Company Tenure]]&lt;=20, "15-20",Table1[[#This Row],[Company Tenure]]&gt;20,"Above 20")</f>
        <v>1-5</v>
      </c>
    </row>
    <row r="417" spans="1:16" x14ac:dyDescent="0.25">
      <c r="A417" t="s">
        <v>895</v>
      </c>
      <c r="B417" t="s">
        <v>469</v>
      </c>
      <c r="C417" t="s">
        <v>83</v>
      </c>
      <c r="D417" t="s">
        <v>23</v>
      </c>
      <c r="E417">
        <v>54</v>
      </c>
      <c r="F417" t="s">
        <v>181</v>
      </c>
      <c r="G417" t="s">
        <v>2</v>
      </c>
      <c r="H417" s="2">
        <v>79100</v>
      </c>
      <c r="I417" s="1">
        <v>40063</v>
      </c>
      <c r="J417" s="3">
        <v>17</v>
      </c>
      <c r="K417" t="s">
        <v>896</v>
      </c>
      <c r="L417" t="s">
        <v>19</v>
      </c>
      <c r="M417">
        <v>3</v>
      </c>
      <c r="N417" t="str" cm="1">
        <f t="array" ref="N417">_xlfn.IFS(AND(24&lt;=Table1[[#This Row],[Age]],Table1[[#This Row],[Age]]&lt;=30),"24-30",Table1[[#This Row],[Age]]&lt;=35,"31-35",Table1[[#This Row],[Age]]&lt;=40,"36-40",Table1[[#This Row],[Age]]&lt;=45,"41-45",Table1[[#This Row],[Age]]&lt;=50,"46-50",Table1[[#This Row],[Age]]&lt;=55,"51-55",Table1[[#This Row],[Age]]&lt;=60,"56-60",Table1[[#This Row],[Age]]&lt;=66,"61-66")</f>
        <v>51-55</v>
      </c>
      <c r="O417" t="s">
        <v>1077</v>
      </c>
      <c r="P417" t="str" cm="1">
        <f t="array" ref="P417">_xlfn.IFS(Table1[[#This Row],[Company Tenure]]&lt;=5,"1-5",Table1[[#This Row],[Company Tenure]]&lt;=10,"6-10",Table1[[#This Row],[Company Tenure]]&lt;=15,"11-15",Table1[[#This Row],[Company Tenure]]&lt;=20, "15-20",Table1[[#This Row],[Company Tenure]]&gt;20,"Above 20")</f>
        <v>15-20</v>
      </c>
    </row>
    <row r="418" spans="1:16" x14ac:dyDescent="0.25">
      <c r="A418" t="s">
        <v>897</v>
      </c>
      <c r="B418" t="s">
        <v>401</v>
      </c>
      <c r="C418" t="s">
        <v>589</v>
      </c>
      <c r="D418" t="s">
        <v>1</v>
      </c>
      <c r="E418">
        <v>58</v>
      </c>
      <c r="F418" t="s">
        <v>36</v>
      </c>
      <c r="G418" t="s">
        <v>216</v>
      </c>
      <c r="H418" s="2">
        <v>226067.4</v>
      </c>
      <c r="I418" s="1">
        <v>38965</v>
      </c>
      <c r="J418" s="3">
        <v>20</v>
      </c>
      <c r="K418" t="s">
        <v>898</v>
      </c>
      <c r="L418" t="s">
        <v>49</v>
      </c>
      <c r="M418">
        <v>5</v>
      </c>
      <c r="N418" t="str" cm="1">
        <f t="array" ref="N418">_xlfn.IFS(AND(24&lt;=Table1[[#This Row],[Age]],Table1[[#This Row],[Age]]&lt;=30),"24-30",Table1[[#This Row],[Age]]&lt;=35,"31-35",Table1[[#This Row],[Age]]&lt;=40,"36-40",Table1[[#This Row],[Age]]&lt;=45,"41-45",Table1[[#This Row],[Age]]&lt;=50,"46-50",Table1[[#This Row],[Age]]&lt;=55,"51-55",Table1[[#This Row],[Age]]&lt;=60,"56-60",Table1[[#This Row],[Age]]&lt;=66,"61-66")</f>
        <v>56-60</v>
      </c>
      <c r="O418" t="s">
        <v>1079</v>
      </c>
      <c r="P418" t="str" cm="1">
        <f t="array" ref="P418">_xlfn.IFS(Table1[[#This Row],[Company Tenure]]&lt;=5,"1-5",Table1[[#This Row],[Company Tenure]]&lt;=10,"6-10",Table1[[#This Row],[Company Tenure]]&lt;=15,"11-15",Table1[[#This Row],[Company Tenure]]&lt;=20, "15-20",Table1[[#This Row],[Company Tenure]]&gt;20,"Above 20")</f>
        <v>15-20</v>
      </c>
    </row>
    <row r="419" spans="1:16" x14ac:dyDescent="0.25">
      <c r="A419" t="s">
        <v>899</v>
      </c>
      <c r="B419" t="s">
        <v>316</v>
      </c>
      <c r="C419" t="s">
        <v>180</v>
      </c>
      <c r="D419" t="s">
        <v>1</v>
      </c>
      <c r="E419">
        <v>45</v>
      </c>
      <c r="F419" t="s">
        <v>32</v>
      </c>
      <c r="G419" t="s">
        <v>37</v>
      </c>
      <c r="H419" s="2">
        <v>86160</v>
      </c>
      <c r="I419" s="1">
        <v>39991</v>
      </c>
      <c r="J419" s="3">
        <v>17</v>
      </c>
      <c r="K419" t="s">
        <v>900</v>
      </c>
      <c r="L419" t="s">
        <v>85</v>
      </c>
      <c r="M419">
        <v>4</v>
      </c>
      <c r="N419" t="str" cm="1">
        <f t="array" ref="N419">_xlfn.IFS(AND(24&lt;=Table1[[#This Row],[Age]],Table1[[#This Row],[Age]]&lt;=30),"24-30",Table1[[#This Row],[Age]]&lt;=35,"31-35",Table1[[#This Row],[Age]]&lt;=40,"36-40",Table1[[#This Row],[Age]]&lt;=45,"41-45",Table1[[#This Row],[Age]]&lt;=50,"46-50",Table1[[#This Row],[Age]]&lt;=55,"51-55",Table1[[#This Row],[Age]]&lt;=60,"56-60",Table1[[#This Row],[Age]]&lt;=66,"61-66")</f>
        <v>41-45</v>
      </c>
      <c r="O419" t="s">
        <v>1077</v>
      </c>
      <c r="P419" t="str" cm="1">
        <f t="array" ref="P419">_xlfn.IFS(Table1[[#This Row],[Company Tenure]]&lt;=5,"1-5",Table1[[#This Row],[Company Tenure]]&lt;=10,"6-10",Table1[[#This Row],[Company Tenure]]&lt;=15,"11-15",Table1[[#This Row],[Company Tenure]]&lt;=20, "15-20",Table1[[#This Row],[Company Tenure]]&gt;20,"Above 20")</f>
        <v>15-20</v>
      </c>
    </row>
    <row r="420" spans="1:16" x14ac:dyDescent="0.25">
      <c r="A420" t="s">
        <v>901</v>
      </c>
      <c r="B420" t="s">
        <v>67</v>
      </c>
      <c r="C420" t="s">
        <v>269</v>
      </c>
      <c r="D420" t="s">
        <v>23</v>
      </c>
      <c r="E420">
        <v>46</v>
      </c>
      <c r="F420" t="s">
        <v>133</v>
      </c>
      <c r="G420" t="s">
        <v>17</v>
      </c>
      <c r="H420" s="2">
        <v>55607.01</v>
      </c>
      <c r="I420" s="1">
        <v>40456</v>
      </c>
      <c r="J420" s="3">
        <v>16</v>
      </c>
      <c r="K420" t="s">
        <v>902</v>
      </c>
      <c r="L420" t="s">
        <v>120</v>
      </c>
      <c r="M420">
        <v>4</v>
      </c>
      <c r="N420" t="str" cm="1">
        <f t="array" ref="N420">_xlfn.IFS(AND(24&lt;=Table1[[#This Row],[Age]],Table1[[#This Row],[Age]]&lt;=30),"24-30",Table1[[#This Row],[Age]]&lt;=35,"31-35",Table1[[#This Row],[Age]]&lt;=40,"36-40",Table1[[#This Row],[Age]]&lt;=45,"41-45",Table1[[#This Row],[Age]]&lt;=50,"46-50",Table1[[#This Row],[Age]]&lt;=55,"51-55",Table1[[#This Row],[Age]]&lt;=60,"56-60",Table1[[#This Row],[Age]]&lt;=66,"61-66")</f>
        <v>46-50</v>
      </c>
      <c r="O420" t="s">
        <v>1077</v>
      </c>
      <c r="P420" t="str" cm="1">
        <f t="array" ref="P420">_xlfn.IFS(Table1[[#This Row],[Company Tenure]]&lt;=5,"1-5",Table1[[#This Row],[Company Tenure]]&lt;=10,"6-10",Table1[[#This Row],[Company Tenure]]&lt;=15,"11-15",Table1[[#This Row],[Company Tenure]]&lt;=20, "15-20",Table1[[#This Row],[Company Tenure]]&gt;20,"Above 20")</f>
        <v>15-20</v>
      </c>
    </row>
    <row r="421" spans="1:16" x14ac:dyDescent="0.25">
      <c r="A421" t="s">
        <v>903</v>
      </c>
      <c r="B421" t="s">
        <v>624</v>
      </c>
      <c r="C421" t="s">
        <v>124</v>
      </c>
      <c r="D421" t="s">
        <v>1</v>
      </c>
      <c r="E421">
        <v>55</v>
      </c>
      <c r="F421" t="s">
        <v>133</v>
      </c>
      <c r="G421" t="s">
        <v>63</v>
      </c>
      <c r="H421" s="2">
        <v>62522</v>
      </c>
      <c r="I421" s="1">
        <v>39070</v>
      </c>
      <c r="J421" s="3">
        <v>19</v>
      </c>
      <c r="K421" t="s">
        <v>904</v>
      </c>
      <c r="L421" t="s">
        <v>85</v>
      </c>
      <c r="M421">
        <v>3</v>
      </c>
      <c r="N421" t="str" cm="1">
        <f t="array" ref="N421">_xlfn.IFS(AND(24&lt;=Table1[[#This Row],[Age]],Table1[[#This Row],[Age]]&lt;=30),"24-30",Table1[[#This Row],[Age]]&lt;=35,"31-35",Table1[[#This Row],[Age]]&lt;=40,"36-40",Table1[[#This Row],[Age]]&lt;=45,"41-45",Table1[[#This Row],[Age]]&lt;=50,"46-50",Table1[[#This Row],[Age]]&lt;=55,"51-55",Table1[[#This Row],[Age]]&lt;=60,"56-60",Table1[[#This Row],[Age]]&lt;=66,"61-66")</f>
        <v>51-55</v>
      </c>
      <c r="O421" t="s">
        <v>1077</v>
      </c>
      <c r="P421" t="str" cm="1">
        <f t="array" ref="P421">_xlfn.IFS(Table1[[#This Row],[Company Tenure]]&lt;=5,"1-5",Table1[[#This Row],[Company Tenure]]&lt;=10,"6-10",Table1[[#This Row],[Company Tenure]]&lt;=15,"11-15",Table1[[#This Row],[Company Tenure]]&lt;=20, "15-20",Table1[[#This Row],[Company Tenure]]&gt;20,"Above 20")</f>
        <v>15-20</v>
      </c>
    </row>
    <row r="422" spans="1:16" x14ac:dyDescent="0.25">
      <c r="A422" t="s">
        <v>905</v>
      </c>
      <c r="B422" t="s">
        <v>132</v>
      </c>
      <c r="C422" t="s">
        <v>222</v>
      </c>
      <c r="D422" t="s">
        <v>23</v>
      </c>
      <c r="E422">
        <v>55</v>
      </c>
      <c r="F422" t="s">
        <v>313</v>
      </c>
      <c r="G422" t="s">
        <v>44</v>
      </c>
      <c r="H422" s="2">
        <v>82696</v>
      </c>
      <c r="I422" s="1">
        <v>40483</v>
      </c>
      <c r="J422" s="3">
        <v>15</v>
      </c>
      <c r="K422" t="s">
        <v>906</v>
      </c>
      <c r="L422" t="s">
        <v>25</v>
      </c>
      <c r="M422">
        <v>3</v>
      </c>
      <c r="N422" t="str" cm="1">
        <f t="array" ref="N422">_xlfn.IFS(AND(24&lt;=Table1[[#This Row],[Age]],Table1[[#This Row],[Age]]&lt;=30),"24-30",Table1[[#This Row],[Age]]&lt;=35,"31-35",Table1[[#This Row],[Age]]&lt;=40,"36-40",Table1[[#This Row],[Age]]&lt;=45,"41-45",Table1[[#This Row],[Age]]&lt;=50,"46-50",Table1[[#This Row],[Age]]&lt;=55,"51-55",Table1[[#This Row],[Age]]&lt;=60,"56-60",Table1[[#This Row],[Age]]&lt;=66,"61-66")</f>
        <v>51-55</v>
      </c>
      <c r="O422" t="s">
        <v>1077</v>
      </c>
      <c r="P422" t="str" cm="1">
        <f t="array" ref="P422">_xlfn.IFS(Table1[[#This Row],[Company Tenure]]&lt;=5,"1-5",Table1[[#This Row],[Company Tenure]]&lt;=10,"6-10",Table1[[#This Row],[Company Tenure]]&lt;=15,"11-15",Table1[[#This Row],[Company Tenure]]&lt;=20, "15-20",Table1[[#This Row],[Company Tenure]]&gt;20,"Above 20")</f>
        <v>11-15</v>
      </c>
    </row>
    <row r="423" spans="1:16" x14ac:dyDescent="0.25">
      <c r="A423" t="s">
        <v>907</v>
      </c>
      <c r="B423" t="s">
        <v>67</v>
      </c>
      <c r="C423" t="s">
        <v>452</v>
      </c>
      <c r="D423" t="s">
        <v>8</v>
      </c>
      <c r="E423">
        <v>66</v>
      </c>
      <c r="F423" t="s">
        <v>313</v>
      </c>
      <c r="G423" t="s">
        <v>161</v>
      </c>
      <c r="H423" s="2">
        <v>186728.37</v>
      </c>
      <c r="I423" s="1">
        <v>41540</v>
      </c>
      <c r="J423" s="3">
        <v>13</v>
      </c>
      <c r="K423" t="s">
        <v>908</v>
      </c>
      <c r="L423" t="s">
        <v>49</v>
      </c>
      <c r="M423">
        <v>3</v>
      </c>
      <c r="N423" t="str" cm="1">
        <f t="array" ref="N423">_xlfn.IFS(AND(24&lt;=Table1[[#This Row],[Age]],Table1[[#This Row],[Age]]&lt;=30),"24-30",Table1[[#This Row],[Age]]&lt;=35,"31-35",Table1[[#This Row],[Age]]&lt;=40,"36-40",Table1[[#This Row],[Age]]&lt;=45,"41-45",Table1[[#This Row],[Age]]&lt;=50,"46-50",Table1[[#This Row],[Age]]&lt;=55,"51-55",Table1[[#This Row],[Age]]&lt;=60,"56-60",Table1[[#This Row],[Age]]&lt;=66,"61-66")</f>
        <v>61-66</v>
      </c>
      <c r="O423" t="s">
        <v>1078</v>
      </c>
      <c r="P423" t="str" cm="1">
        <f t="array" ref="P423">_xlfn.IFS(Table1[[#This Row],[Company Tenure]]&lt;=5,"1-5",Table1[[#This Row],[Company Tenure]]&lt;=10,"6-10",Table1[[#This Row],[Company Tenure]]&lt;=15,"11-15",Table1[[#This Row],[Company Tenure]]&lt;=20, "15-20",Table1[[#This Row],[Company Tenure]]&gt;20,"Above 20")</f>
        <v>11-15</v>
      </c>
    </row>
    <row r="424" spans="1:16" x14ac:dyDescent="0.25">
      <c r="A424" t="s">
        <v>909</v>
      </c>
      <c r="B424" t="s">
        <v>132</v>
      </c>
      <c r="C424" t="s">
        <v>269</v>
      </c>
      <c r="D424" t="s">
        <v>23</v>
      </c>
      <c r="E424">
        <v>51</v>
      </c>
      <c r="F424" t="s">
        <v>181</v>
      </c>
      <c r="G424" t="s">
        <v>37</v>
      </c>
      <c r="H424" s="2">
        <v>57771</v>
      </c>
      <c r="I424" s="1">
        <v>40337</v>
      </c>
      <c r="J424" s="3">
        <v>16</v>
      </c>
      <c r="K424" t="s">
        <v>910</v>
      </c>
      <c r="L424" t="s">
        <v>14</v>
      </c>
      <c r="M424">
        <v>4</v>
      </c>
      <c r="N424" t="str" cm="1">
        <f t="array" ref="N424">_xlfn.IFS(AND(24&lt;=Table1[[#This Row],[Age]],Table1[[#This Row],[Age]]&lt;=30),"24-30",Table1[[#This Row],[Age]]&lt;=35,"31-35",Table1[[#This Row],[Age]]&lt;=40,"36-40",Table1[[#This Row],[Age]]&lt;=45,"41-45",Table1[[#This Row],[Age]]&lt;=50,"46-50",Table1[[#This Row],[Age]]&lt;=55,"51-55",Table1[[#This Row],[Age]]&lt;=60,"56-60",Table1[[#This Row],[Age]]&lt;=66,"61-66")</f>
        <v>51-55</v>
      </c>
      <c r="O424" t="s">
        <v>1077</v>
      </c>
      <c r="P424" t="str" cm="1">
        <f t="array" ref="P424">_xlfn.IFS(Table1[[#This Row],[Company Tenure]]&lt;=5,"1-5",Table1[[#This Row],[Company Tenure]]&lt;=10,"6-10",Table1[[#This Row],[Company Tenure]]&lt;=15,"11-15",Table1[[#This Row],[Company Tenure]]&lt;=20, "15-20",Table1[[#This Row],[Company Tenure]]&gt;20,"Above 20")</f>
        <v>15-20</v>
      </c>
    </row>
    <row r="425" spans="1:16" x14ac:dyDescent="0.25">
      <c r="A425" t="s">
        <v>911</v>
      </c>
      <c r="B425" t="s">
        <v>221</v>
      </c>
      <c r="C425" t="s">
        <v>59</v>
      </c>
      <c r="D425" t="s">
        <v>1</v>
      </c>
      <c r="E425">
        <v>61</v>
      </c>
      <c r="F425" t="s">
        <v>203</v>
      </c>
      <c r="G425" t="s">
        <v>17</v>
      </c>
      <c r="H425" s="2">
        <v>58635</v>
      </c>
      <c r="I425" s="1">
        <v>42500</v>
      </c>
      <c r="J425" s="3">
        <v>10</v>
      </c>
      <c r="K425" t="s">
        <v>912</v>
      </c>
      <c r="L425" t="s">
        <v>4</v>
      </c>
      <c r="M425">
        <v>3</v>
      </c>
      <c r="N425" t="str" cm="1">
        <f t="array" ref="N425">_xlfn.IFS(AND(24&lt;=Table1[[#This Row],[Age]],Table1[[#This Row],[Age]]&lt;=30),"24-30",Table1[[#This Row],[Age]]&lt;=35,"31-35",Table1[[#This Row],[Age]]&lt;=40,"36-40",Table1[[#This Row],[Age]]&lt;=45,"41-45",Table1[[#This Row],[Age]]&lt;=50,"46-50",Table1[[#This Row],[Age]]&lt;=55,"51-55",Table1[[#This Row],[Age]]&lt;=60,"56-60",Table1[[#This Row],[Age]]&lt;=66,"61-66")</f>
        <v>61-66</v>
      </c>
      <c r="O425" t="s">
        <v>1077</v>
      </c>
      <c r="P425" t="str" cm="1">
        <f t="array" ref="P425">_xlfn.IFS(Table1[[#This Row],[Company Tenure]]&lt;=5,"1-5",Table1[[#This Row],[Company Tenure]]&lt;=10,"6-10",Table1[[#This Row],[Company Tenure]]&lt;=15,"11-15",Table1[[#This Row],[Company Tenure]]&lt;=20, "15-20",Table1[[#This Row],[Company Tenure]]&gt;20,"Above 20")</f>
        <v>6-10</v>
      </c>
    </row>
    <row r="426" spans="1:16" x14ac:dyDescent="0.25">
      <c r="A426" t="s">
        <v>913</v>
      </c>
      <c r="B426" t="s">
        <v>6</v>
      </c>
      <c r="C426" t="s">
        <v>427</v>
      </c>
      <c r="D426" t="s">
        <v>1</v>
      </c>
      <c r="E426">
        <v>53</v>
      </c>
      <c r="F426" t="s">
        <v>295</v>
      </c>
      <c r="G426" t="s">
        <v>63</v>
      </c>
      <c r="H426" s="2">
        <v>68739</v>
      </c>
      <c r="I426" s="1">
        <v>39621</v>
      </c>
      <c r="J426" s="3">
        <v>18</v>
      </c>
      <c r="K426" t="s">
        <v>914</v>
      </c>
      <c r="L426" t="s">
        <v>85</v>
      </c>
      <c r="M426">
        <v>2</v>
      </c>
      <c r="N426" t="str" cm="1">
        <f t="array" ref="N426">_xlfn.IFS(AND(24&lt;=Table1[[#This Row],[Age]],Table1[[#This Row],[Age]]&lt;=30),"24-30",Table1[[#This Row],[Age]]&lt;=35,"31-35",Table1[[#This Row],[Age]]&lt;=40,"36-40",Table1[[#This Row],[Age]]&lt;=45,"41-45",Table1[[#This Row],[Age]]&lt;=50,"46-50",Table1[[#This Row],[Age]]&lt;=55,"51-55",Table1[[#This Row],[Age]]&lt;=60,"56-60",Table1[[#This Row],[Age]]&lt;=66,"61-66")</f>
        <v>51-55</v>
      </c>
      <c r="O426" t="s">
        <v>1077</v>
      </c>
      <c r="P426" t="str" cm="1">
        <f t="array" ref="P426">_xlfn.IFS(Table1[[#This Row],[Company Tenure]]&lt;=5,"1-5",Table1[[#This Row],[Company Tenure]]&lt;=10,"6-10",Table1[[#This Row],[Company Tenure]]&lt;=15,"11-15",Table1[[#This Row],[Company Tenure]]&lt;=20, "15-20",Table1[[#This Row],[Company Tenure]]&gt;20,"Above 20")</f>
        <v>15-20</v>
      </c>
    </row>
    <row r="427" spans="1:16" x14ac:dyDescent="0.25">
      <c r="A427" t="s">
        <v>915</v>
      </c>
      <c r="B427" t="s">
        <v>268</v>
      </c>
      <c r="C427" t="s">
        <v>80</v>
      </c>
      <c r="D427" t="s">
        <v>23</v>
      </c>
      <c r="E427">
        <v>40</v>
      </c>
      <c r="F427" t="s">
        <v>36</v>
      </c>
      <c r="G427" t="s">
        <v>2</v>
      </c>
      <c r="H427" s="2">
        <v>134437</v>
      </c>
      <c r="I427" s="1">
        <v>39386</v>
      </c>
      <c r="J427" s="3">
        <v>18</v>
      </c>
      <c r="K427" t="s">
        <v>916</v>
      </c>
      <c r="L427" t="s">
        <v>14</v>
      </c>
      <c r="M427">
        <v>4</v>
      </c>
      <c r="N427" t="str" cm="1">
        <f t="array" ref="N427">_xlfn.IFS(AND(24&lt;=Table1[[#This Row],[Age]],Table1[[#This Row],[Age]]&lt;=30),"24-30",Table1[[#This Row],[Age]]&lt;=35,"31-35",Table1[[#This Row],[Age]]&lt;=40,"36-40",Table1[[#This Row],[Age]]&lt;=45,"41-45",Table1[[#This Row],[Age]]&lt;=50,"46-50",Table1[[#This Row],[Age]]&lt;=55,"51-55",Table1[[#This Row],[Age]]&lt;=60,"56-60",Table1[[#This Row],[Age]]&lt;=66,"61-66")</f>
        <v>36-40</v>
      </c>
      <c r="O427" t="s">
        <v>1074</v>
      </c>
      <c r="P427" t="str" cm="1">
        <f t="array" ref="P427">_xlfn.IFS(Table1[[#This Row],[Company Tenure]]&lt;=5,"1-5",Table1[[#This Row],[Company Tenure]]&lt;=10,"6-10",Table1[[#This Row],[Company Tenure]]&lt;=15,"11-15",Table1[[#This Row],[Company Tenure]]&lt;=20, "15-20",Table1[[#This Row],[Company Tenure]]&gt;20,"Above 20")</f>
        <v>15-20</v>
      </c>
    </row>
    <row r="428" spans="1:16" x14ac:dyDescent="0.25">
      <c r="A428" t="s">
        <v>917</v>
      </c>
      <c r="B428" t="s">
        <v>316</v>
      </c>
      <c r="C428" t="s">
        <v>22</v>
      </c>
      <c r="D428" t="s">
        <v>8</v>
      </c>
      <c r="E428">
        <v>51</v>
      </c>
      <c r="F428" t="s">
        <v>181</v>
      </c>
      <c r="G428" t="s">
        <v>161</v>
      </c>
      <c r="H428" s="2">
        <v>112174</v>
      </c>
      <c r="I428" s="1">
        <v>41514</v>
      </c>
      <c r="J428" s="3">
        <v>13</v>
      </c>
      <c r="K428" t="s">
        <v>918</v>
      </c>
      <c r="L428" t="s">
        <v>25</v>
      </c>
      <c r="M428">
        <v>3</v>
      </c>
      <c r="N428" t="str" cm="1">
        <f t="array" ref="N428">_xlfn.IFS(AND(24&lt;=Table1[[#This Row],[Age]],Table1[[#This Row],[Age]]&lt;=30),"24-30",Table1[[#This Row],[Age]]&lt;=35,"31-35",Table1[[#This Row],[Age]]&lt;=40,"36-40",Table1[[#This Row],[Age]]&lt;=45,"41-45",Table1[[#This Row],[Age]]&lt;=50,"46-50",Table1[[#This Row],[Age]]&lt;=55,"51-55",Table1[[#This Row],[Age]]&lt;=60,"56-60",Table1[[#This Row],[Age]]&lt;=66,"61-66")</f>
        <v>51-55</v>
      </c>
      <c r="O428" t="s">
        <v>1074</v>
      </c>
      <c r="P428" t="str" cm="1">
        <f t="array" ref="P428">_xlfn.IFS(Table1[[#This Row],[Company Tenure]]&lt;=5,"1-5",Table1[[#This Row],[Company Tenure]]&lt;=10,"6-10",Table1[[#This Row],[Company Tenure]]&lt;=15,"11-15",Table1[[#This Row],[Company Tenure]]&lt;=20, "15-20",Table1[[#This Row],[Company Tenure]]&gt;20,"Above 20")</f>
        <v>11-15</v>
      </c>
    </row>
    <row r="429" spans="1:16" x14ac:dyDescent="0.25">
      <c r="A429" t="s">
        <v>919</v>
      </c>
      <c r="B429" t="s">
        <v>30</v>
      </c>
      <c r="C429" t="s">
        <v>153</v>
      </c>
      <c r="D429" t="s">
        <v>23</v>
      </c>
      <c r="E429">
        <v>50</v>
      </c>
      <c r="F429" t="s">
        <v>9</v>
      </c>
      <c r="G429" t="s">
        <v>105</v>
      </c>
      <c r="H429" s="2">
        <v>148596.92000000001</v>
      </c>
      <c r="I429" s="1">
        <v>45305</v>
      </c>
      <c r="J429" s="3">
        <v>2</v>
      </c>
      <c r="K429" t="s">
        <v>920</v>
      </c>
      <c r="L429" t="s">
        <v>85</v>
      </c>
      <c r="M429">
        <v>4</v>
      </c>
      <c r="N429" t="str" cm="1">
        <f t="array" ref="N429">_xlfn.IFS(AND(24&lt;=Table1[[#This Row],[Age]],Table1[[#This Row],[Age]]&lt;=30),"24-30",Table1[[#This Row],[Age]]&lt;=35,"31-35",Table1[[#This Row],[Age]]&lt;=40,"36-40",Table1[[#This Row],[Age]]&lt;=45,"41-45",Table1[[#This Row],[Age]]&lt;=50,"46-50",Table1[[#This Row],[Age]]&lt;=55,"51-55",Table1[[#This Row],[Age]]&lt;=60,"56-60",Table1[[#This Row],[Age]]&lt;=66,"61-66")</f>
        <v>46-50</v>
      </c>
      <c r="O429" t="s">
        <v>1074</v>
      </c>
      <c r="P429" t="str" cm="1">
        <f t="array" ref="P429">_xlfn.IFS(Table1[[#This Row],[Company Tenure]]&lt;=5,"1-5",Table1[[#This Row],[Company Tenure]]&lt;=10,"6-10",Table1[[#This Row],[Company Tenure]]&lt;=15,"11-15",Table1[[#This Row],[Company Tenure]]&lt;=20, "15-20",Table1[[#This Row],[Company Tenure]]&gt;20,"Above 20")</f>
        <v>1-5</v>
      </c>
    </row>
    <row r="430" spans="1:16" x14ac:dyDescent="0.25">
      <c r="A430" t="s">
        <v>921</v>
      </c>
      <c r="B430" t="s">
        <v>714</v>
      </c>
      <c r="C430" t="s">
        <v>799</v>
      </c>
      <c r="D430" t="s">
        <v>8</v>
      </c>
      <c r="E430">
        <v>50</v>
      </c>
      <c r="F430" t="s">
        <v>313</v>
      </c>
      <c r="G430" t="s">
        <v>2</v>
      </c>
      <c r="H430" s="2">
        <v>137511</v>
      </c>
      <c r="I430" s="1">
        <v>43733</v>
      </c>
      <c r="J430" s="3">
        <v>7</v>
      </c>
      <c r="K430" t="s">
        <v>922</v>
      </c>
      <c r="L430" t="s">
        <v>25</v>
      </c>
      <c r="M430">
        <v>2</v>
      </c>
      <c r="N430" t="str" cm="1">
        <f t="array" ref="N430">_xlfn.IFS(AND(24&lt;=Table1[[#This Row],[Age]],Table1[[#This Row],[Age]]&lt;=30),"24-30",Table1[[#This Row],[Age]]&lt;=35,"31-35",Table1[[#This Row],[Age]]&lt;=40,"36-40",Table1[[#This Row],[Age]]&lt;=45,"41-45",Table1[[#This Row],[Age]]&lt;=50,"46-50",Table1[[#This Row],[Age]]&lt;=55,"51-55",Table1[[#This Row],[Age]]&lt;=60,"56-60",Table1[[#This Row],[Age]]&lt;=66,"61-66")</f>
        <v>46-50</v>
      </c>
      <c r="O430" t="s">
        <v>1074</v>
      </c>
      <c r="P430" t="str" cm="1">
        <f t="array" ref="P430">_xlfn.IFS(Table1[[#This Row],[Company Tenure]]&lt;=5,"1-5",Table1[[#This Row],[Company Tenure]]&lt;=10,"6-10",Table1[[#This Row],[Company Tenure]]&lt;=15,"11-15",Table1[[#This Row],[Company Tenure]]&lt;=20, "15-20",Table1[[#This Row],[Company Tenure]]&gt;20,"Above 20")</f>
        <v>6-10</v>
      </c>
    </row>
    <row r="431" spans="1:16" x14ac:dyDescent="0.25">
      <c r="A431" t="s">
        <v>923</v>
      </c>
      <c r="B431" t="s">
        <v>316</v>
      </c>
      <c r="C431" t="s">
        <v>562</v>
      </c>
      <c r="D431" t="s">
        <v>8</v>
      </c>
      <c r="E431">
        <v>54</v>
      </c>
      <c r="F431" t="s">
        <v>32</v>
      </c>
      <c r="G431" t="s">
        <v>161</v>
      </c>
      <c r="H431" s="2">
        <v>161135</v>
      </c>
      <c r="I431" s="1">
        <v>38499</v>
      </c>
      <c r="J431" s="3">
        <v>21</v>
      </c>
      <c r="K431" t="s">
        <v>924</v>
      </c>
      <c r="L431" t="s">
        <v>54</v>
      </c>
      <c r="M431">
        <v>1</v>
      </c>
      <c r="N431" t="str" cm="1">
        <f t="array" ref="N431">_xlfn.IFS(AND(24&lt;=Table1[[#This Row],[Age]],Table1[[#This Row],[Age]]&lt;=30),"24-30",Table1[[#This Row],[Age]]&lt;=35,"31-35",Table1[[#This Row],[Age]]&lt;=40,"36-40",Table1[[#This Row],[Age]]&lt;=45,"41-45",Table1[[#This Row],[Age]]&lt;=50,"46-50",Table1[[#This Row],[Age]]&lt;=55,"51-55",Table1[[#This Row],[Age]]&lt;=60,"56-60",Table1[[#This Row],[Age]]&lt;=66,"61-66")</f>
        <v>51-55</v>
      </c>
      <c r="O431" t="s">
        <v>1078</v>
      </c>
      <c r="P431" t="str" cm="1">
        <f t="array" ref="P431">_xlfn.IFS(Table1[[#This Row],[Company Tenure]]&lt;=5,"1-5",Table1[[#This Row],[Company Tenure]]&lt;=10,"6-10",Table1[[#This Row],[Company Tenure]]&lt;=15,"11-15",Table1[[#This Row],[Company Tenure]]&lt;=20, "15-20",Table1[[#This Row],[Company Tenure]]&gt;20,"Above 20")</f>
        <v>Above 20</v>
      </c>
    </row>
    <row r="432" spans="1:16" x14ac:dyDescent="0.25">
      <c r="A432" t="s">
        <v>925</v>
      </c>
      <c r="B432" t="s">
        <v>62</v>
      </c>
      <c r="C432" t="s">
        <v>118</v>
      </c>
      <c r="D432" t="s">
        <v>23</v>
      </c>
      <c r="E432">
        <v>41</v>
      </c>
      <c r="F432" t="s">
        <v>9</v>
      </c>
      <c r="G432" t="s">
        <v>100</v>
      </c>
      <c r="H432" s="2">
        <v>77101</v>
      </c>
      <c r="I432" s="1">
        <v>40259</v>
      </c>
      <c r="J432" s="3">
        <v>16</v>
      </c>
      <c r="K432" t="s">
        <v>926</v>
      </c>
      <c r="L432" t="s">
        <v>207</v>
      </c>
      <c r="M432">
        <v>5</v>
      </c>
      <c r="N432" t="str" cm="1">
        <f t="array" ref="N432">_xlfn.IFS(AND(24&lt;=Table1[[#This Row],[Age]],Table1[[#This Row],[Age]]&lt;=30),"24-30",Table1[[#This Row],[Age]]&lt;=35,"31-35",Table1[[#This Row],[Age]]&lt;=40,"36-40",Table1[[#This Row],[Age]]&lt;=45,"41-45",Table1[[#This Row],[Age]]&lt;=50,"46-50",Table1[[#This Row],[Age]]&lt;=55,"51-55",Table1[[#This Row],[Age]]&lt;=60,"56-60",Table1[[#This Row],[Age]]&lt;=66,"61-66")</f>
        <v>41-45</v>
      </c>
      <c r="O432" t="s">
        <v>1077</v>
      </c>
      <c r="P432" t="str" cm="1">
        <f t="array" ref="P432">_xlfn.IFS(Table1[[#This Row],[Company Tenure]]&lt;=5,"1-5",Table1[[#This Row],[Company Tenure]]&lt;=10,"6-10",Table1[[#This Row],[Company Tenure]]&lt;=15,"11-15",Table1[[#This Row],[Company Tenure]]&lt;=20, "15-20",Table1[[#This Row],[Company Tenure]]&gt;20,"Above 20")</f>
        <v>15-20</v>
      </c>
    </row>
    <row r="433" spans="1:16" x14ac:dyDescent="0.25">
      <c r="A433" t="s">
        <v>927</v>
      </c>
      <c r="B433" t="s">
        <v>127</v>
      </c>
      <c r="C433" t="s">
        <v>215</v>
      </c>
      <c r="D433" t="s">
        <v>8</v>
      </c>
      <c r="E433">
        <v>51</v>
      </c>
      <c r="F433" t="s">
        <v>313</v>
      </c>
      <c r="G433" t="s">
        <v>44</v>
      </c>
      <c r="H433" s="2">
        <v>91969</v>
      </c>
      <c r="I433" s="1">
        <v>38737</v>
      </c>
      <c r="J433" s="3">
        <v>20</v>
      </c>
      <c r="K433" t="s">
        <v>928</v>
      </c>
      <c r="L433" t="s">
        <v>54</v>
      </c>
      <c r="M433">
        <v>4</v>
      </c>
      <c r="N433" t="str" cm="1">
        <f t="array" ref="N433">_xlfn.IFS(AND(24&lt;=Table1[[#This Row],[Age]],Table1[[#This Row],[Age]]&lt;=30),"24-30",Table1[[#This Row],[Age]]&lt;=35,"31-35",Table1[[#This Row],[Age]]&lt;=40,"36-40",Table1[[#This Row],[Age]]&lt;=45,"41-45",Table1[[#This Row],[Age]]&lt;=50,"46-50",Table1[[#This Row],[Age]]&lt;=55,"51-55",Table1[[#This Row],[Age]]&lt;=60,"56-60",Table1[[#This Row],[Age]]&lt;=66,"61-66")</f>
        <v>51-55</v>
      </c>
      <c r="O433" t="s">
        <v>1077</v>
      </c>
      <c r="P433" t="str" cm="1">
        <f t="array" ref="P433">_xlfn.IFS(Table1[[#This Row],[Company Tenure]]&lt;=5,"1-5",Table1[[#This Row],[Company Tenure]]&lt;=10,"6-10",Table1[[#This Row],[Company Tenure]]&lt;=15,"11-15",Table1[[#This Row],[Company Tenure]]&lt;=20, "15-20",Table1[[#This Row],[Company Tenure]]&gt;20,"Above 20")</f>
        <v>15-20</v>
      </c>
    </row>
    <row r="434" spans="1:16" x14ac:dyDescent="0.25">
      <c r="A434" t="s">
        <v>929</v>
      </c>
      <c r="B434" t="s">
        <v>633</v>
      </c>
      <c r="C434" t="s">
        <v>375</v>
      </c>
      <c r="D434" t="s">
        <v>1</v>
      </c>
      <c r="E434">
        <v>36</v>
      </c>
      <c r="F434" t="s">
        <v>32</v>
      </c>
      <c r="G434" t="s">
        <v>161</v>
      </c>
      <c r="H434" s="2">
        <v>161135</v>
      </c>
      <c r="I434" s="1" t="s">
        <v>1059</v>
      </c>
      <c r="J434" s="3" t="s">
        <v>1059</v>
      </c>
      <c r="K434" t="s">
        <v>930</v>
      </c>
      <c r="L434" t="s">
        <v>19</v>
      </c>
      <c r="M434">
        <v>3</v>
      </c>
      <c r="N434" t="str" cm="1">
        <f t="array" ref="N434">_xlfn.IFS(AND(24&lt;=Table1[[#This Row],[Age]],Table1[[#This Row],[Age]]&lt;=30),"24-30",Table1[[#This Row],[Age]]&lt;=35,"31-35",Table1[[#This Row],[Age]]&lt;=40,"36-40",Table1[[#This Row],[Age]]&lt;=45,"41-45",Table1[[#This Row],[Age]]&lt;=50,"46-50",Table1[[#This Row],[Age]]&lt;=55,"51-55",Table1[[#This Row],[Age]]&lt;=60,"56-60",Table1[[#This Row],[Age]]&lt;=66,"61-66")</f>
        <v>36-40</v>
      </c>
      <c r="O434" t="s">
        <v>1078</v>
      </c>
      <c r="P434" t="str" cm="1">
        <f t="array" ref="P434">_xlfn.IFS(Table1[[#This Row],[Company Tenure]]&lt;=5,"1-5",Table1[[#This Row],[Company Tenure]]&lt;=10,"6-10",Table1[[#This Row],[Company Tenure]]&lt;=15,"11-15",Table1[[#This Row],[Company Tenure]]&lt;=20, "15-20",Table1[[#This Row],[Company Tenure]]&gt;20,"Above 20")</f>
        <v>Above 20</v>
      </c>
    </row>
    <row r="435" spans="1:16" x14ac:dyDescent="0.25">
      <c r="A435" t="s">
        <v>931</v>
      </c>
      <c r="B435" t="s">
        <v>624</v>
      </c>
      <c r="C435" t="s">
        <v>166</v>
      </c>
      <c r="D435" t="s">
        <v>8</v>
      </c>
      <c r="E435">
        <v>34</v>
      </c>
      <c r="F435" t="s">
        <v>9</v>
      </c>
      <c r="G435" t="s">
        <v>2</v>
      </c>
      <c r="H435" s="2">
        <v>119403</v>
      </c>
      <c r="I435" s="1">
        <v>41397</v>
      </c>
      <c r="J435" s="3">
        <v>13</v>
      </c>
      <c r="K435" t="s">
        <v>932</v>
      </c>
      <c r="L435" t="s">
        <v>54</v>
      </c>
      <c r="M435">
        <v>2</v>
      </c>
      <c r="N435" t="str" cm="1">
        <f t="array" ref="N435">_xlfn.IFS(AND(24&lt;=Table1[[#This Row],[Age]],Table1[[#This Row],[Age]]&lt;=30),"24-30",Table1[[#This Row],[Age]]&lt;=35,"31-35",Table1[[#This Row],[Age]]&lt;=40,"36-40",Table1[[#This Row],[Age]]&lt;=45,"41-45",Table1[[#This Row],[Age]]&lt;=50,"46-50",Table1[[#This Row],[Age]]&lt;=55,"51-55",Table1[[#This Row],[Age]]&lt;=60,"56-60",Table1[[#This Row],[Age]]&lt;=66,"61-66")</f>
        <v>31-35</v>
      </c>
      <c r="O435" t="s">
        <v>1074</v>
      </c>
      <c r="P435" t="str" cm="1">
        <f t="array" ref="P435">_xlfn.IFS(Table1[[#This Row],[Company Tenure]]&lt;=5,"1-5",Table1[[#This Row],[Company Tenure]]&lt;=10,"6-10",Table1[[#This Row],[Company Tenure]]&lt;=15,"11-15",Table1[[#This Row],[Company Tenure]]&lt;=20, "15-20",Table1[[#This Row],[Company Tenure]]&gt;20,"Above 20")</f>
        <v>11-15</v>
      </c>
    </row>
    <row r="436" spans="1:16" x14ac:dyDescent="0.25">
      <c r="A436" t="s">
        <v>933</v>
      </c>
      <c r="B436" t="s">
        <v>334</v>
      </c>
      <c r="C436" t="s">
        <v>180</v>
      </c>
      <c r="D436" t="s">
        <v>1</v>
      </c>
      <c r="E436">
        <v>51</v>
      </c>
      <c r="F436" t="s">
        <v>181</v>
      </c>
      <c r="G436" t="s">
        <v>100</v>
      </c>
      <c r="H436" s="2">
        <v>45308</v>
      </c>
      <c r="I436" s="1">
        <v>39936</v>
      </c>
      <c r="J436" s="3">
        <v>17</v>
      </c>
      <c r="K436" t="s">
        <v>934</v>
      </c>
      <c r="L436" t="s">
        <v>39</v>
      </c>
      <c r="M436">
        <v>3</v>
      </c>
      <c r="N436" t="str" cm="1">
        <f t="array" ref="N436">_xlfn.IFS(AND(24&lt;=Table1[[#This Row],[Age]],Table1[[#This Row],[Age]]&lt;=30),"24-30",Table1[[#This Row],[Age]]&lt;=35,"31-35",Table1[[#This Row],[Age]]&lt;=40,"36-40",Table1[[#This Row],[Age]]&lt;=45,"41-45",Table1[[#This Row],[Age]]&lt;=50,"46-50",Table1[[#This Row],[Age]]&lt;=55,"51-55",Table1[[#This Row],[Age]]&lt;=60,"56-60",Table1[[#This Row],[Age]]&lt;=66,"61-66")</f>
        <v>51-55</v>
      </c>
      <c r="O436" t="s">
        <v>1076</v>
      </c>
      <c r="P436" t="str" cm="1">
        <f t="array" ref="P436">_xlfn.IFS(Table1[[#This Row],[Company Tenure]]&lt;=5,"1-5",Table1[[#This Row],[Company Tenure]]&lt;=10,"6-10",Table1[[#This Row],[Company Tenure]]&lt;=15,"11-15",Table1[[#This Row],[Company Tenure]]&lt;=20, "15-20",Table1[[#This Row],[Company Tenure]]&gt;20,"Above 20")</f>
        <v>15-20</v>
      </c>
    </row>
    <row r="437" spans="1:16" x14ac:dyDescent="0.25">
      <c r="A437" t="s">
        <v>935</v>
      </c>
      <c r="B437" t="s">
        <v>6</v>
      </c>
      <c r="C437" t="s">
        <v>91</v>
      </c>
      <c r="D437" t="s">
        <v>23</v>
      </c>
      <c r="E437">
        <v>44</v>
      </c>
      <c r="F437" t="s">
        <v>142</v>
      </c>
      <c r="G437" t="s">
        <v>100</v>
      </c>
      <c r="H437" s="2">
        <v>50576.5</v>
      </c>
      <c r="I437" s="1">
        <v>45035</v>
      </c>
      <c r="J437" s="3">
        <v>3</v>
      </c>
      <c r="K437" t="s">
        <v>936</v>
      </c>
      <c r="L437" t="s">
        <v>28</v>
      </c>
      <c r="M437">
        <v>3</v>
      </c>
      <c r="N437" t="str" cm="1">
        <f t="array" ref="N437">_xlfn.IFS(AND(24&lt;=Table1[[#This Row],[Age]],Table1[[#This Row],[Age]]&lt;=30),"24-30",Table1[[#This Row],[Age]]&lt;=35,"31-35",Table1[[#This Row],[Age]]&lt;=40,"36-40",Table1[[#This Row],[Age]]&lt;=45,"41-45",Table1[[#This Row],[Age]]&lt;=50,"46-50",Table1[[#This Row],[Age]]&lt;=55,"51-55",Table1[[#This Row],[Age]]&lt;=60,"56-60",Table1[[#This Row],[Age]]&lt;=66,"61-66")</f>
        <v>41-45</v>
      </c>
      <c r="O437" t="s">
        <v>1077</v>
      </c>
      <c r="P437" t="str" cm="1">
        <f t="array" ref="P437">_xlfn.IFS(Table1[[#This Row],[Company Tenure]]&lt;=5,"1-5",Table1[[#This Row],[Company Tenure]]&lt;=10,"6-10",Table1[[#This Row],[Company Tenure]]&lt;=15,"11-15",Table1[[#This Row],[Company Tenure]]&lt;=20, "15-20",Table1[[#This Row],[Company Tenure]]&gt;20,"Above 20")</f>
        <v>1-5</v>
      </c>
    </row>
    <row r="438" spans="1:16" x14ac:dyDescent="0.25">
      <c r="A438" t="s">
        <v>937</v>
      </c>
      <c r="B438" t="s">
        <v>316</v>
      </c>
      <c r="C438" t="s">
        <v>83</v>
      </c>
      <c r="D438" t="s">
        <v>8</v>
      </c>
      <c r="E438">
        <v>37</v>
      </c>
      <c r="F438" t="s">
        <v>295</v>
      </c>
      <c r="G438" t="s">
        <v>2</v>
      </c>
      <c r="H438" s="2">
        <v>110331</v>
      </c>
      <c r="I438" s="1">
        <v>44240</v>
      </c>
      <c r="J438" s="3">
        <v>5</v>
      </c>
      <c r="K438" t="s">
        <v>938</v>
      </c>
      <c r="L438" t="s">
        <v>39</v>
      </c>
      <c r="M438">
        <v>3</v>
      </c>
      <c r="N438" t="str" cm="1">
        <f t="array" ref="N438">_xlfn.IFS(AND(24&lt;=Table1[[#This Row],[Age]],Table1[[#This Row],[Age]]&lt;=30),"24-30",Table1[[#This Row],[Age]]&lt;=35,"31-35",Table1[[#This Row],[Age]]&lt;=40,"36-40",Table1[[#This Row],[Age]]&lt;=45,"41-45",Table1[[#This Row],[Age]]&lt;=50,"46-50",Table1[[#This Row],[Age]]&lt;=55,"51-55",Table1[[#This Row],[Age]]&lt;=60,"56-60",Table1[[#This Row],[Age]]&lt;=66,"61-66")</f>
        <v>36-40</v>
      </c>
      <c r="O438" t="s">
        <v>1074</v>
      </c>
      <c r="P438" t="str" cm="1">
        <f t="array" ref="P438">_xlfn.IFS(Table1[[#This Row],[Company Tenure]]&lt;=5,"1-5",Table1[[#This Row],[Company Tenure]]&lt;=10,"6-10",Table1[[#This Row],[Company Tenure]]&lt;=15,"11-15",Table1[[#This Row],[Company Tenure]]&lt;=20, "15-20",Table1[[#This Row],[Company Tenure]]&gt;20,"Above 20")</f>
        <v>1-5</v>
      </c>
    </row>
    <row r="439" spans="1:16" x14ac:dyDescent="0.25">
      <c r="A439" t="s">
        <v>939</v>
      </c>
      <c r="B439" t="s">
        <v>132</v>
      </c>
      <c r="C439" t="s">
        <v>222</v>
      </c>
      <c r="D439" t="s">
        <v>1</v>
      </c>
      <c r="E439">
        <v>49</v>
      </c>
      <c r="F439" t="s">
        <v>32</v>
      </c>
      <c r="G439" t="s">
        <v>17</v>
      </c>
      <c r="H439" s="2">
        <v>82390.52</v>
      </c>
      <c r="I439" s="1">
        <v>44280</v>
      </c>
      <c r="J439" s="3">
        <v>5</v>
      </c>
      <c r="K439" t="s">
        <v>906</v>
      </c>
      <c r="L439" t="s">
        <v>14</v>
      </c>
      <c r="M439">
        <v>3</v>
      </c>
      <c r="N439" t="str" cm="1">
        <f t="array" ref="N439">_xlfn.IFS(AND(24&lt;=Table1[[#This Row],[Age]],Table1[[#This Row],[Age]]&lt;=30),"24-30",Table1[[#This Row],[Age]]&lt;=35,"31-35",Table1[[#This Row],[Age]]&lt;=40,"36-40",Table1[[#This Row],[Age]]&lt;=45,"41-45",Table1[[#This Row],[Age]]&lt;=50,"46-50",Table1[[#This Row],[Age]]&lt;=55,"51-55",Table1[[#This Row],[Age]]&lt;=60,"56-60",Table1[[#This Row],[Age]]&lt;=66,"61-66")</f>
        <v>46-50</v>
      </c>
      <c r="O439" t="s">
        <v>1077</v>
      </c>
      <c r="P439" t="str" cm="1">
        <f t="array" ref="P439">_xlfn.IFS(Table1[[#This Row],[Company Tenure]]&lt;=5,"1-5",Table1[[#This Row],[Company Tenure]]&lt;=10,"6-10",Table1[[#This Row],[Company Tenure]]&lt;=15,"11-15",Table1[[#This Row],[Company Tenure]]&lt;=20, "15-20",Table1[[#This Row],[Company Tenure]]&gt;20,"Above 20")</f>
        <v>1-5</v>
      </c>
    </row>
    <row r="440" spans="1:16" x14ac:dyDescent="0.25">
      <c r="A440" t="s">
        <v>940</v>
      </c>
      <c r="B440" t="s">
        <v>633</v>
      </c>
      <c r="C440" t="s">
        <v>118</v>
      </c>
      <c r="D440" t="s">
        <v>1</v>
      </c>
      <c r="E440">
        <v>47</v>
      </c>
      <c r="F440" t="s">
        <v>142</v>
      </c>
      <c r="G440" t="s">
        <v>100</v>
      </c>
      <c r="H440" s="2">
        <v>49525</v>
      </c>
      <c r="I440" s="1">
        <v>38844</v>
      </c>
      <c r="J440" s="3">
        <v>20</v>
      </c>
      <c r="K440" t="s">
        <v>941</v>
      </c>
      <c r="L440" t="s">
        <v>49</v>
      </c>
      <c r="M440">
        <v>5</v>
      </c>
      <c r="N440" t="str" cm="1">
        <f t="array" ref="N440">_xlfn.IFS(AND(24&lt;=Table1[[#This Row],[Age]],Table1[[#This Row],[Age]]&lt;=30),"24-30",Table1[[#This Row],[Age]]&lt;=35,"31-35",Table1[[#This Row],[Age]]&lt;=40,"36-40",Table1[[#This Row],[Age]]&lt;=45,"41-45",Table1[[#This Row],[Age]]&lt;=50,"46-50",Table1[[#This Row],[Age]]&lt;=55,"51-55",Table1[[#This Row],[Age]]&lt;=60,"56-60",Table1[[#This Row],[Age]]&lt;=66,"61-66")</f>
        <v>46-50</v>
      </c>
      <c r="O440" t="s">
        <v>1076</v>
      </c>
      <c r="P440" t="str" cm="1">
        <f t="array" ref="P440">_xlfn.IFS(Table1[[#This Row],[Company Tenure]]&lt;=5,"1-5",Table1[[#This Row],[Company Tenure]]&lt;=10,"6-10",Table1[[#This Row],[Company Tenure]]&lt;=15,"11-15",Table1[[#This Row],[Company Tenure]]&lt;=20, "15-20",Table1[[#This Row],[Company Tenure]]&gt;20,"Above 20")</f>
        <v>15-20</v>
      </c>
    </row>
    <row r="441" spans="1:16" x14ac:dyDescent="0.25">
      <c r="A441" t="s">
        <v>942</v>
      </c>
      <c r="B441" t="s">
        <v>374</v>
      </c>
      <c r="C441" t="s">
        <v>104</v>
      </c>
      <c r="D441" t="s">
        <v>1</v>
      </c>
      <c r="E441">
        <v>31</v>
      </c>
      <c r="F441" t="s">
        <v>32</v>
      </c>
      <c r="G441" t="s">
        <v>44</v>
      </c>
      <c r="H441" s="2">
        <v>65126</v>
      </c>
      <c r="I441" s="1">
        <v>45429</v>
      </c>
      <c r="J441" s="3">
        <v>2</v>
      </c>
      <c r="K441" t="s">
        <v>943</v>
      </c>
      <c r="L441" t="s">
        <v>39</v>
      </c>
      <c r="M441">
        <v>3</v>
      </c>
      <c r="N441" t="str" cm="1">
        <f t="array" ref="N441">_xlfn.IFS(AND(24&lt;=Table1[[#This Row],[Age]],Table1[[#This Row],[Age]]&lt;=30),"24-30",Table1[[#This Row],[Age]]&lt;=35,"31-35",Table1[[#This Row],[Age]]&lt;=40,"36-40",Table1[[#This Row],[Age]]&lt;=45,"41-45",Table1[[#This Row],[Age]]&lt;=50,"46-50",Table1[[#This Row],[Age]]&lt;=55,"51-55",Table1[[#This Row],[Age]]&lt;=60,"56-60",Table1[[#This Row],[Age]]&lt;=66,"61-66")</f>
        <v>31-35</v>
      </c>
      <c r="O441" t="s">
        <v>1077</v>
      </c>
      <c r="P441" t="str" cm="1">
        <f t="array" ref="P441">_xlfn.IFS(Table1[[#This Row],[Company Tenure]]&lt;=5,"1-5",Table1[[#This Row],[Company Tenure]]&lt;=10,"6-10",Table1[[#This Row],[Company Tenure]]&lt;=15,"11-15",Table1[[#This Row],[Company Tenure]]&lt;=20, "15-20",Table1[[#This Row],[Company Tenure]]&gt;20,"Above 20")</f>
        <v>1-5</v>
      </c>
    </row>
    <row r="442" spans="1:16" x14ac:dyDescent="0.25">
      <c r="A442" t="s">
        <v>944</v>
      </c>
      <c r="B442" t="s">
        <v>714</v>
      </c>
      <c r="C442" t="s">
        <v>104</v>
      </c>
      <c r="D442" t="s">
        <v>23</v>
      </c>
      <c r="E442">
        <v>38</v>
      </c>
      <c r="F442" t="s">
        <v>154</v>
      </c>
      <c r="G442" t="s">
        <v>17</v>
      </c>
      <c r="H442" s="2">
        <v>40359</v>
      </c>
      <c r="I442" s="1">
        <v>41308</v>
      </c>
      <c r="J442" s="3">
        <v>13</v>
      </c>
      <c r="K442" t="s">
        <v>510</v>
      </c>
      <c r="L442" t="s">
        <v>65</v>
      </c>
      <c r="M442">
        <v>3</v>
      </c>
      <c r="N442" t="str" cm="1">
        <f t="array" ref="N442">_xlfn.IFS(AND(24&lt;=Table1[[#This Row],[Age]],Table1[[#This Row],[Age]]&lt;=30),"24-30",Table1[[#This Row],[Age]]&lt;=35,"31-35",Table1[[#This Row],[Age]]&lt;=40,"36-40",Table1[[#This Row],[Age]]&lt;=45,"41-45",Table1[[#This Row],[Age]]&lt;=50,"46-50",Table1[[#This Row],[Age]]&lt;=55,"51-55",Table1[[#This Row],[Age]]&lt;=60,"56-60",Table1[[#This Row],[Age]]&lt;=66,"61-66")</f>
        <v>36-40</v>
      </c>
      <c r="O442" t="s">
        <v>1076</v>
      </c>
      <c r="P442" t="str" cm="1">
        <f t="array" ref="P442">_xlfn.IFS(Table1[[#This Row],[Company Tenure]]&lt;=5,"1-5",Table1[[#This Row],[Company Tenure]]&lt;=10,"6-10",Table1[[#This Row],[Company Tenure]]&lt;=15,"11-15",Table1[[#This Row],[Company Tenure]]&lt;=20, "15-20",Table1[[#This Row],[Company Tenure]]&gt;20,"Above 20")</f>
        <v>11-15</v>
      </c>
    </row>
    <row r="443" spans="1:16" x14ac:dyDescent="0.25">
      <c r="A443" t="s">
        <v>945</v>
      </c>
      <c r="B443" t="s">
        <v>229</v>
      </c>
      <c r="C443" t="s">
        <v>118</v>
      </c>
      <c r="D443" t="s">
        <v>1</v>
      </c>
      <c r="E443">
        <v>45</v>
      </c>
      <c r="F443" t="s">
        <v>203</v>
      </c>
      <c r="G443" t="s">
        <v>100</v>
      </c>
      <c r="H443" s="2">
        <v>44257</v>
      </c>
      <c r="I443" s="1">
        <v>42728</v>
      </c>
      <c r="J443" s="3">
        <v>9</v>
      </c>
      <c r="K443" t="s">
        <v>946</v>
      </c>
      <c r="L443" t="s">
        <v>28</v>
      </c>
      <c r="M443">
        <v>5</v>
      </c>
      <c r="N443" t="str" cm="1">
        <f t="array" ref="N443">_xlfn.IFS(AND(24&lt;=Table1[[#This Row],[Age]],Table1[[#This Row],[Age]]&lt;=30),"24-30",Table1[[#This Row],[Age]]&lt;=35,"31-35",Table1[[#This Row],[Age]]&lt;=40,"36-40",Table1[[#This Row],[Age]]&lt;=45,"41-45",Table1[[#This Row],[Age]]&lt;=50,"46-50",Table1[[#This Row],[Age]]&lt;=55,"51-55",Table1[[#This Row],[Age]]&lt;=60,"56-60",Table1[[#This Row],[Age]]&lt;=66,"61-66")</f>
        <v>41-45</v>
      </c>
      <c r="O443" t="s">
        <v>1076</v>
      </c>
      <c r="P443" t="str" cm="1">
        <f t="array" ref="P443">_xlfn.IFS(Table1[[#This Row],[Company Tenure]]&lt;=5,"1-5",Table1[[#This Row],[Company Tenure]]&lt;=10,"6-10",Table1[[#This Row],[Company Tenure]]&lt;=15,"11-15",Table1[[#This Row],[Company Tenure]]&lt;=20, "15-20",Table1[[#This Row],[Company Tenure]]&gt;20,"Above 20")</f>
        <v>6-10</v>
      </c>
    </row>
    <row r="444" spans="1:16" x14ac:dyDescent="0.25">
      <c r="A444" t="s">
        <v>947</v>
      </c>
      <c r="B444" t="s">
        <v>401</v>
      </c>
      <c r="C444" t="s">
        <v>68</v>
      </c>
      <c r="D444" t="s">
        <v>8</v>
      </c>
      <c r="E444">
        <v>37</v>
      </c>
      <c r="F444" t="s">
        <v>154</v>
      </c>
      <c r="G444" t="s">
        <v>17</v>
      </c>
      <c r="H444" s="2">
        <v>42310</v>
      </c>
      <c r="I444" s="1">
        <v>41391</v>
      </c>
      <c r="J444" s="3">
        <v>13</v>
      </c>
      <c r="K444" t="s">
        <v>948</v>
      </c>
      <c r="L444" t="s">
        <v>39</v>
      </c>
      <c r="M444">
        <v>4</v>
      </c>
      <c r="N444" t="str" cm="1">
        <f t="array" ref="N444">_xlfn.IFS(AND(24&lt;=Table1[[#This Row],[Age]],Table1[[#This Row],[Age]]&lt;=30),"24-30",Table1[[#This Row],[Age]]&lt;=35,"31-35",Table1[[#This Row],[Age]]&lt;=40,"36-40",Table1[[#This Row],[Age]]&lt;=45,"41-45",Table1[[#This Row],[Age]]&lt;=50,"46-50",Table1[[#This Row],[Age]]&lt;=55,"51-55",Table1[[#This Row],[Age]]&lt;=60,"56-60",Table1[[#This Row],[Age]]&lt;=66,"61-66")</f>
        <v>36-40</v>
      </c>
      <c r="O444" t="s">
        <v>1076</v>
      </c>
      <c r="P444" t="str" cm="1">
        <f t="array" ref="P444">_xlfn.IFS(Table1[[#This Row],[Company Tenure]]&lt;=5,"1-5",Table1[[#This Row],[Company Tenure]]&lt;=10,"6-10",Table1[[#This Row],[Company Tenure]]&lt;=15,"11-15",Table1[[#This Row],[Company Tenure]]&lt;=20, "15-20",Table1[[#This Row],[Company Tenure]]&gt;20,"Above 20")</f>
        <v>11-15</v>
      </c>
    </row>
    <row r="445" spans="1:16" x14ac:dyDescent="0.25">
      <c r="A445" t="s">
        <v>949</v>
      </c>
      <c r="B445" t="s">
        <v>184</v>
      </c>
      <c r="C445" t="s">
        <v>104</v>
      </c>
      <c r="D445" t="s">
        <v>1</v>
      </c>
      <c r="E445">
        <v>29</v>
      </c>
      <c r="F445" t="s">
        <v>1066</v>
      </c>
      <c r="G445" t="s">
        <v>44</v>
      </c>
      <c r="H445" s="2">
        <v>80030</v>
      </c>
      <c r="I445" s="1">
        <v>44440</v>
      </c>
      <c r="J445" s="3">
        <v>5</v>
      </c>
      <c r="K445" t="s">
        <v>950</v>
      </c>
      <c r="L445" t="s">
        <v>207</v>
      </c>
      <c r="M445">
        <v>3</v>
      </c>
      <c r="N445" t="str" cm="1">
        <f t="array" ref="N445">_xlfn.IFS(AND(24&lt;=Table1[[#This Row],[Age]],Table1[[#This Row],[Age]]&lt;=30),"24-30",Table1[[#This Row],[Age]]&lt;=35,"31-35",Table1[[#This Row],[Age]]&lt;=40,"36-40",Table1[[#This Row],[Age]]&lt;=45,"41-45",Table1[[#This Row],[Age]]&lt;=50,"46-50",Table1[[#This Row],[Age]]&lt;=55,"51-55",Table1[[#This Row],[Age]]&lt;=60,"56-60",Table1[[#This Row],[Age]]&lt;=66,"61-66")</f>
        <v>24-30</v>
      </c>
      <c r="O445" t="s">
        <v>1077</v>
      </c>
      <c r="P445" t="str" cm="1">
        <f t="array" ref="P445">_xlfn.IFS(Table1[[#This Row],[Company Tenure]]&lt;=5,"1-5",Table1[[#This Row],[Company Tenure]]&lt;=10,"6-10",Table1[[#This Row],[Company Tenure]]&lt;=15,"11-15",Table1[[#This Row],[Company Tenure]]&lt;=20, "15-20",Table1[[#This Row],[Company Tenure]]&gt;20,"Above 20")</f>
        <v>1-5</v>
      </c>
    </row>
    <row r="446" spans="1:16" x14ac:dyDescent="0.25">
      <c r="A446" t="s">
        <v>951</v>
      </c>
      <c r="B446" t="s">
        <v>514</v>
      </c>
      <c r="C446" t="s">
        <v>291</v>
      </c>
      <c r="D446" t="s">
        <v>1</v>
      </c>
      <c r="E446">
        <v>60</v>
      </c>
      <c r="F446" t="s">
        <v>313</v>
      </c>
      <c r="G446" t="s">
        <v>37</v>
      </c>
      <c r="H446" s="2">
        <v>98956</v>
      </c>
      <c r="I446" s="1">
        <v>38576</v>
      </c>
      <c r="J446" s="3">
        <v>21</v>
      </c>
      <c r="K446" t="s">
        <v>952</v>
      </c>
      <c r="L446" t="s">
        <v>4</v>
      </c>
      <c r="M446">
        <v>2</v>
      </c>
      <c r="N446" t="str" cm="1">
        <f t="array" ref="N446">_xlfn.IFS(AND(24&lt;=Table1[[#This Row],[Age]],Table1[[#This Row],[Age]]&lt;=30),"24-30",Table1[[#This Row],[Age]]&lt;=35,"31-35",Table1[[#This Row],[Age]]&lt;=40,"36-40",Table1[[#This Row],[Age]]&lt;=45,"41-45",Table1[[#This Row],[Age]]&lt;=50,"46-50",Table1[[#This Row],[Age]]&lt;=55,"51-55",Table1[[#This Row],[Age]]&lt;=60,"56-60",Table1[[#This Row],[Age]]&lt;=66,"61-66")</f>
        <v>56-60</v>
      </c>
      <c r="O446" t="s">
        <v>1077</v>
      </c>
      <c r="P446" t="str" cm="1">
        <f t="array" ref="P446">_xlfn.IFS(Table1[[#This Row],[Company Tenure]]&lt;=5,"1-5",Table1[[#This Row],[Company Tenure]]&lt;=10,"6-10",Table1[[#This Row],[Company Tenure]]&lt;=15,"11-15",Table1[[#This Row],[Company Tenure]]&lt;=20, "15-20",Table1[[#This Row],[Company Tenure]]&gt;20,"Above 20")</f>
        <v>Above 20</v>
      </c>
    </row>
    <row r="447" spans="1:16" x14ac:dyDescent="0.25">
      <c r="A447" t="s">
        <v>953</v>
      </c>
      <c r="B447" t="s">
        <v>476</v>
      </c>
      <c r="C447" t="s">
        <v>962</v>
      </c>
      <c r="D447" t="s">
        <v>1</v>
      </c>
      <c r="E447">
        <v>37</v>
      </c>
      <c r="F447" t="s">
        <v>133</v>
      </c>
      <c r="G447" t="s">
        <v>44</v>
      </c>
      <c r="H447" s="2">
        <v>63034</v>
      </c>
      <c r="I447" s="1">
        <v>44216</v>
      </c>
      <c r="J447" s="3">
        <v>5</v>
      </c>
      <c r="K447" t="s">
        <v>550</v>
      </c>
      <c r="L447" t="s">
        <v>65</v>
      </c>
      <c r="M447">
        <v>4</v>
      </c>
      <c r="N447" t="str" cm="1">
        <f t="array" ref="N447">_xlfn.IFS(AND(24&lt;=Table1[[#This Row],[Age]],Table1[[#This Row],[Age]]&lt;=30),"24-30",Table1[[#This Row],[Age]]&lt;=35,"31-35",Table1[[#This Row],[Age]]&lt;=40,"36-40",Table1[[#This Row],[Age]]&lt;=45,"41-45",Table1[[#This Row],[Age]]&lt;=50,"46-50",Table1[[#This Row],[Age]]&lt;=55,"51-55",Table1[[#This Row],[Age]]&lt;=60,"56-60",Table1[[#This Row],[Age]]&lt;=66,"61-66")</f>
        <v>36-40</v>
      </c>
      <c r="O447" t="s">
        <v>1077</v>
      </c>
      <c r="P447" t="str" cm="1">
        <f t="array" ref="P447">_xlfn.IFS(Table1[[#This Row],[Company Tenure]]&lt;=5,"1-5",Table1[[#This Row],[Company Tenure]]&lt;=10,"6-10",Table1[[#This Row],[Company Tenure]]&lt;=15,"11-15",Table1[[#This Row],[Company Tenure]]&lt;=20, "15-20",Table1[[#This Row],[Company Tenure]]&gt;20,"Above 20")</f>
        <v>1-5</v>
      </c>
    </row>
    <row r="448" spans="1:16" x14ac:dyDescent="0.25">
      <c r="A448" t="s">
        <v>954</v>
      </c>
      <c r="B448" t="s">
        <v>514</v>
      </c>
      <c r="C448" t="s">
        <v>215</v>
      </c>
      <c r="D448" t="s">
        <v>23</v>
      </c>
      <c r="E448">
        <v>28</v>
      </c>
      <c r="F448" t="s">
        <v>142</v>
      </c>
      <c r="G448" t="s">
        <v>63</v>
      </c>
      <c r="H448" s="2">
        <v>60436.13</v>
      </c>
      <c r="I448" s="1">
        <v>45510</v>
      </c>
      <c r="J448" s="3">
        <v>2</v>
      </c>
      <c r="K448" t="s">
        <v>955</v>
      </c>
      <c r="L448" t="s">
        <v>28</v>
      </c>
      <c r="M448">
        <v>3</v>
      </c>
      <c r="N448" t="str" cm="1">
        <f t="array" ref="N448">_xlfn.IFS(AND(24&lt;=Table1[[#This Row],[Age]],Table1[[#This Row],[Age]]&lt;=30),"24-30",Table1[[#This Row],[Age]]&lt;=35,"31-35",Table1[[#This Row],[Age]]&lt;=40,"36-40",Table1[[#This Row],[Age]]&lt;=45,"41-45",Table1[[#This Row],[Age]]&lt;=50,"46-50",Table1[[#This Row],[Age]]&lt;=55,"51-55",Table1[[#This Row],[Age]]&lt;=60,"56-60",Table1[[#This Row],[Age]]&lt;=66,"61-66")</f>
        <v>24-30</v>
      </c>
      <c r="O448" t="s">
        <v>1077</v>
      </c>
      <c r="P448" t="str" cm="1">
        <f t="array" ref="P448">_xlfn.IFS(Table1[[#This Row],[Company Tenure]]&lt;=5,"1-5",Table1[[#This Row],[Company Tenure]]&lt;=10,"6-10",Table1[[#This Row],[Company Tenure]]&lt;=15,"11-15",Table1[[#This Row],[Company Tenure]]&lt;=20, "15-20",Table1[[#This Row],[Company Tenure]]&gt;20,"Above 20")</f>
        <v>1-5</v>
      </c>
    </row>
    <row r="449" spans="1:16" x14ac:dyDescent="0.25">
      <c r="A449" t="s">
        <v>956</v>
      </c>
      <c r="B449" t="s">
        <v>514</v>
      </c>
      <c r="C449" t="s">
        <v>91</v>
      </c>
      <c r="D449" t="s">
        <v>8</v>
      </c>
      <c r="E449">
        <v>31</v>
      </c>
      <c r="F449" t="s">
        <v>181</v>
      </c>
      <c r="G449" t="s">
        <v>44</v>
      </c>
      <c r="H449" s="2">
        <v>47361</v>
      </c>
      <c r="I449" s="1">
        <v>44459</v>
      </c>
      <c r="J449" s="3">
        <v>5</v>
      </c>
      <c r="K449" t="s">
        <v>349</v>
      </c>
      <c r="L449" t="s">
        <v>54</v>
      </c>
      <c r="M449">
        <v>4</v>
      </c>
      <c r="N449" t="str" cm="1">
        <f t="array" ref="N449">_xlfn.IFS(AND(24&lt;=Table1[[#This Row],[Age]],Table1[[#This Row],[Age]]&lt;=30),"24-30",Table1[[#This Row],[Age]]&lt;=35,"31-35",Table1[[#This Row],[Age]]&lt;=40,"36-40",Table1[[#This Row],[Age]]&lt;=45,"41-45",Table1[[#This Row],[Age]]&lt;=50,"46-50",Table1[[#This Row],[Age]]&lt;=55,"51-55",Table1[[#This Row],[Age]]&lt;=60,"56-60",Table1[[#This Row],[Age]]&lt;=66,"61-66")</f>
        <v>31-35</v>
      </c>
      <c r="O449" t="s">
        <v>1076</v>
      </c>
      <c r="P449" t="str" cm="1">
        <f t="array" ref="P449">_xlfn.IFS(Table1[[#This Row],[Company Tenure]]&lt;=5,"1-5",Table1[[#This Row],[Company Tenure]]&lt;=10,"6-10",Table1[[#This Row],[Company Tenure]]&lt;=15,"11-15",Table1[[#This Row],[Company Tenure]]&lt;=20, "15-20",Table1[[#This Row],[Company Tenure]]&gt;20,"Above 20")</f>
        <v>1-5</v>
      </c>
    </row>
    <row r="450" spans="1:16" x14ac:dyDescent="0.25">
      <c r="A450" t="s">
        <v>957</v>
      </c>
      <c r="B450" t="s">
        <v>184</v>
      </c>
      <c r="C450" t="s">
        <v>427</v>
      </c>
      <c r="D450" t="s">
        <v>23</v>
      </c>
      <c r="E450">
        <v>56</v>
      </c>
      <c r="F450" t="s">
        <v>142</v>
      </c>
      <c r="G450" t="s">
        <v>100</v>
      </c>
      <c r="H450" s="2">
        <v>50576.5</v>
      </c>
      <c r="I450" s="1">
        <v>39040</v>
      </c>
      <c r="J450" s="3">
        <v>19</v>
      </c>
      <c r="K450" t="s">
        <v>185</v>
      </c>
      <c r="L450" t="s">
        <v>65</v>
      </c>
      <c r="M450">
        <v>3</v>
      </c>
      <c r="N450" t="str" cm="1">
        <f t="array" ref="N450">_xlfn.IFS(AND(24&lt;=Table1[[#This Row],[Age]],Table1[[#This Row],[Age]]&lt;=30),"24-30",Table1[[#This Row],[Age]]&lt;=35,"31-35",Table1[[#This Row],[Age]]&lt;=40,"36-40",Table1[[#This Row],[Age]]&lt;=45,"41-45",Table1[[#This Row],[Age]]&lt;=50,"46-50",Table1[[#This Row],[Age]]&lt;=55,"51-55",Table1[[#This Row],[Age]]&lt;=60,"56-60",Table1[[#This Row],[Age]]&lt;=66,"61-66")</f>
        <v>56-60</v>
      </c>
      <c r="O450" t="s">
        <v>1077</v>
      </c>
      <c r="P450" t="str" cm="1">
        <f t="array" ref="P450">_xlfn.IFS(Table1[[#This Row],[Company Tenure]]&lt;=5,"1-5",Table1[[#This Row],[Company Tenure]]&lt;=10,"6-10",Table1[[#This Row],[Company Tenure]]&lt;=15,"11-15",Table1[[#This Row],[Company Tenure]]&lt;=20, "15-20",Table1[[#This Row],[Company Tenure]]&gt;20,"Above 20")</f>
        <v>15-20</v>
      </c>
    </row>
    <row r="451" spans="1:16" x14ac:dyDescent="0.25">
      <c r="A451" t="s">
        <v>958</v>
      </c>
      <c r="B451" t="s">
        <v>378</v>
      </c>
      <c r="C451" t="s">
        <v>291</v>
      </c>
      <c r="D451" t="s">
        <v>23</v>
      </c>
      <c r="E451">
        <v>37</v>
      </c>
      <c r="F451" t="s">
        <v>154</v>
      </c>
      <c r="G451" t="s">
        <v>37</v>
      </c>
      <c r="H451" s="2">
        <v>54674</v>
      </c>
      <c r="I451" s="1">
        <v>45330</v>
      </c>
      <c r="J451" s="3">
        <v>2</v>
      </c>
      <c r="K451" t="s">
        <v>959</v>
      </c>
      <c r="L451" t="s">
        <v>19</v>
      </c>
      <c r="M451">
        <v>4</v>
      </c>
      <c r="N451" t="str" cm="1">
        <f t="array" ref="N451">_xlfn.IFS(AND(24&lt;=Table1[[#This Row],[Age]],Table1[[#This Row],[Age]]&lt;=30),"24-30",Table1[[#This Row],[Age]]&lt;=35,"31-35",Table1[[#This Row],[Age]]&lt;=40,"36-40",Table1[[#This Row],[Age]]&lt;=45,"41-45",Table1[[#This Row],[Age]]&lt;=50,"46-50",Table1[[#This Row],[Age]]&lt;=55,"51-55",Table1[[#This Row],[Age]]&lt;=60,"56-60",Table1[[#This Row],[Age]]&lt;=66,"61-66")</f>
        <v>36-40</v>
      </c>
      <c r="O451" t="s">
        <v>1077</v>
      </c>
      <c r="P451" t="str" cm="1">
        <f t="array" ref="P451">_xlfn.IFS(Table1[[#This Row],[Company Tenure]]&lt;=5,"1-5",Table1[[#This Row],[Company Tenure]]&lt;=10,"6-10",Table1[[#This Row],[Company Tenure]]&lt;=15,"11-15",Table1[[#This Row],[Company Tenure]]&lt;=20, "15-20",Table1[[#This Row],[Company Tenure]]&gt;20,"Above 20")</f>
        <v>1-5</v>
      </c>
    </row>
    <row r="452" spans="1:16" x14ac:dyDescent="0.25">
      <c r="A452" t="s">
        <v>960</v>
      </c>
      <c r="B452" t="s">
        <v>87</v>
      </c>
      <c r="C452" t="s">
        <v>351</v>
      </c>
      <c r="D452" t="s">
        <v>23</v>
      </c>
      <c r="E452">
        <v>35</v>
      </c>
      <c r="F452" t="s">
        <v>32</v>
      </c>
      <c r="G452" t="s">
        <v>63</v>
      </c>
      <c r="H452" s="2">
        <v>81505</v>
      </c>
      <c r="I452" s="1">
        <v>42828</v>
      </c>
      <c r="J452" s="3">
        <v>9</v>
      </c>
      <c r="K452" t="s">
        <v>51</v>
      </c>
      <c r="L452" t="s">
        <v>107</v>
      </c>
      <c r="M452">
        <v>2</v>
      </c>
      <c r="N452" t="str" cm="1">
        <f t="array" ref="N452">_xlfn.IFS(AND(24&lt;=Table1[[#This Row],[Age]],Table1[[#This Row],[Age]]&lt;=30),"24-30",Table1[[#This Row],[Age]]&lt;=35,"31-35",Table1[[#This Row],[Age]]&lt;=40,"36-40",Table1[[#This Row],[Age]]&lt;=45,"41-45",Table1[[#This Row],[Age]]&lt;=50,"46-50",Table1[[#This Row],[Age]]&lt;=55,"51-55",Table1[[#This Row],[Age]]&lt;=60,"56-60",Table1[[#This Row],[Age]]&lt;=66,"61-66")</f>
        <v>31-35</v>
      </c>
      <c r="O452" t="s">
        <v>1077</v>
      </c>
      <c r="P452" t="str" cm="1">
        <f t="array" ref="P452">_xlfn.IFS(Table1[[#This Row],[Company Tenure]]&lt;=5,"1-5",Table1[[#This Row],[Company Tenure]]&lt;=10,"6-10",Table1[[#This Row],[Company Tenure]]&lt;=15,"11-15",Table1[[#This Row],[Company Tenure]]&lt;=20, "15-20",Table1[[#This Row],[Company Tenure]]&gt;20,"Above 20")</f>
        <v>6-10</v>
      </c>
    </row>
    <row r="453" spans="1:16" x14ac:dyDescent="0.25">
      <c r="A453" t="s">
        <v>961</v>
      </c>
      <c r="B453" t="s">
        <v>334</v>
      </c>
      <c r="C453" t="s">
        <v>962</v>
      </c>
      <c r="D453" t="s">
        <v>8</v>
      </c>
      <c r="E453">
        <v>42</v>
      </c>
      <c r="F453" t="s">
        <v>313</v>
      </c>
      <c r="G453" t="s">
        <v>2</v>
      </c>
      <c r="H453" s="2">
        <v>113306</v>
      </c>
      <c r="I453" s="1">
        <v>43559</v>
      </c>
      <c r="J453" s="3">
        <v>7</v>
      </c>
      <c r="K453" t="s">
        <v>963</v>
      </c>
      <c r="L453" t="s">
        <v>85</v>
      </c>
      <c r="M453">
        <v>3</v>
      </c>
      <c r="N453" t="str" cm="1">
        <f t="array" ref="N453">_xlfn.IFS(AND(24&lt;=Table1[[#This Row],[Age]],Table1[[#This Row],[Age]]&lt;=30),"24-30",Table1[[#This Row],[Age]]&lt;=35,"31-35",Table1[[#This Row],[Age]]&lt;=40,"36-40",Table1[[#This Row],[Age]]&lt;=45,"41-45",Table1[[#This Row],[Age]]&lt;=50,"46-50",Table1[[#This Row],[Age]]&lt;=55,"51-55",Table1[[#This Row],[Age]]&lt;=60,"56-60",Table1[[#This Row],[Age]]&lt;=66,"61-66")</f>
        <v>41-45</v>
      </c>
      <c r="O453" t="s">
        <v>1074</v>
      </c>
      <c r="P453" t="str" cm="1">
        <f t="array" ref="P453">_xlfn.IFS(Table1[[#This Row],[Company Tenure]]&lt;=5,"1-5",Table1[[#This Row],[Company Tenure]]&lt;=10,"6-10",Table1[[#This Row],[Company Tenure]]&lt;=15,"11-15",Table1[[#This Row],[Company Tenure]]&lt;=20, "15-20",Table1[[#This Row],[Company Tenure]]&gt;20,"Above 20")</f>
        <v>6-10</v>
      </c>
    </row>
    <row r="454" spans="1:16" x14ac:dyDescent="0.25">
      <c r="A454" t="s">
        <v>964</v>
      </c>
      <c r="B454" t="s">
        <v>132</v>
      </c>
      <c r="C454" t="s">
        <v>562</v>
      </c>
      <c r="D454" t="s">
        <v>1</v>
      </c>
      <c r="E454">
        <v>49</v>
      </c>
      <c r="F454" t="s">
        <v>36</v>
      </c>
      <c r="G454" t="s">
        <v>44</v>
      </c>
      <c r="H454" s="2">
        <v>80749</v>
      </c>
      <c r="I454" s="1">
        <v>39468</v>
      </c>
      <c r="J454" s="3">
        <v>18</v>
      </c>
      <c r="K454" t="s">
        <v>965</v>
      </c>
      <c r="L454" t="s">
        <v>14</v>
      </c>
      <c r="M454">
        <v>1</v>
      </c>
      <c r="N454" t="str" cm="1">
        <f t="array" ref="N454">_xlfn.IFS(AND(24&lt;=Table1[[#This Row],[Age]],Table1[[#This Row],[Age]]&lt;=30),"24-30",Table1[[#This Row],[Age]]&lt;=35,"31-35",Table1[[#This Row],[Age]]&lt;=40,"36-40",Table1[[#This Row],[Age]]&lt;=45,"41-45",Table1[[#This Row],[Age]]&lt;=50,"46-50",Table1[[#This Row],[Age]]&lt;=55,"51-55",Table1[[#This Row],[Age]]&lt;=60,"56-60",Table1[[#This Row],[Age]]&lt;=66,"61-66")</f>
        <v>46-50</v>
      </c>
      <c r="O454" t="s">
        <v>1077</v>
      </c>
      <c r="P454" t="str" cm="1">
        <f t="array" ref="P454">_xlfn.IFS(Table1[[#This Row],[Company Tenure]]&lt;=5,"1-5",Table1[[#This Row],[Company Tenure]]&lt;=10,"6-10",Table1[[#This Row],[Company Tenure]]&lt;=15,"11-15",Table1[[#This Row],[Company Tenure]]&lt;=20, "15-20",Table1[[#This Row],[Company Tenure]]&gt;20,"Above 20")</f>
        <v>15-20</v>
      </c>
    </row>
    <row r="455" spans="1:16" x14ac:dyDescent="0.25">
      <c r="A455" t="s">
        <v>966</v>
      </c>
      <c r="B455" t="s">
        <v>132</v>
      </c>
      <c r="C455" t="s">
        <v>141</v>
      </c>
      <c r="D455" t="s">
        <v>23</v>
      </c>
      <c r="E455">
        <v>39</v>
      </c>
      <c r="F455" t="s">
        <v>142</v>
      </c>
      <c r="G455" t="s">
        <v>105</v>
      </c>
      <c r="H455" s="2">
        <v>92766</v>
      </c>
      <c r="I455" s="1">
        <v>42643</v>
      </c>
      <c r="J455" s="3">
        <v>10</v>
      </c>
      <c r="K455" t="s">
        <v>967</v>
      </c>
      <c r="L455" t="s">
        <v>107</v>
      </c>
      <c r="M455">
        <v>4</v>
      </c>
      <c r="N455" t="str" cm="1">
        <f t="array" ref="N455">_xlfn.IFS(AND(24&lt;=Table1[[#This Row],[Age]],Table1[[#This Row],[Age]]&lt;=30),"24-30",Table1[[#This Row],[Age]]&lt;=35,"31-35",Table1[[#This Row],[Age]]&lt;=40,"36-40",Table1[[#This Row],[Age]]&lt;=45,"41-45",Table1[[#This Row],[Age]]&lt;=50,"46-50",Table1[[#This Row],[Age]]&lt;=55,"51-55",Table1[[#This Row],[Age]]&lt;=60,"56-60",Table1[[#This Row],[Age]]&lt;=66,"61-66")</f>
        <v>36-40</v>
      </c>
      <c r="O455" t="s">
        <v>1077</v>
      </c>
      <c r="P455" t="str" cm="1">
        <f t="array" ref="P455">_xlfn.IFS(Table1[[#This Row],[Company Tenure]]&lt;=5,"1-5",Table1[[#This Row],[Company Tenure]]&lt;=10,"6-10",Table1[[#This Row],[Company Tenure]]&lt;=15,"11-15",Table1[[#This Row],[Company Tenure]]&lt;=20, "15-20",Table1[[#This Row],[Company Tenure]]&gt;20,"Above 20")</f>
        <v>6-10</v>
      </c>
    </row>
    <row r="456" spans="1:16" x14ac:dyDescent="0.25">
      <c r="A456" t="s">
        <v>968</v>
      </c>
      <c r="B456" t="s">
        <v>43</v>
      </c>
      <c r="C456" t="s">
        <v>222</v>
      </c>
      <c r="D456" t="s">
        <v>8</v>
      </c>
      <c r="E456">
        <v>41</v>
      </c>
      <c r="F456" t="s">
        <v>142</v>
      </c>
      <c r="G456" t="s">
        <v>17</v>
      </c>
      <c r="H456" s="2">
        <v>53166.62</v>
      </c>
      <c r="I456" s="1">
        <v>44142</v>
      </c>
      <c r="J456" s="3">
        <v>5</v>
      </c>
      <c r="K456" t="s">
        <v>425</v>
      </c>
      <c r="L456" t="s">
        <v>25</v>
      </c>
      <c r="M456">
        <v>4</v>
      </c>
      <c r="N456" t="str" cm="1">
        <f t="array" ref="N456">_xlfn.IFS(AND(24&lt;=Table1[[#This Row],[Age]],Table1[[#This Row],[Age]]&lt;=30),"24-30",Table1[[#This Row],[Age]]&lt;=35,"31-35",Table1[[#This Row],[Age]]&lt;=40,"36-40",Table1[[#This Row],[Age]]&lt;=45,"41-45",Table1[[#This Row],[Age]]&lt;=50,"46-50",Table1[[#This Row],[Age]]&lt;=55,"51-55",Table1[[#This Row],[Age]]&lt;=60,"56-60",Table1[[#This Row],[Age]]&lt;=66,"61-66")</f>
        <v>41-45</v>
      </c>
      <c r="O456" t="s">
        <v>1077</v>
      </c>
      <c r="P456" t="str" cm="1">
        <f t="array" ref="P456">_xlfn.IFS(Table1[[#This Row],[Company Tenure]]&lt;=5,"1-5",Table1[[#This Row],[Company Tenure]]&lt;=10,"6-10",Table1[[#This Row],[Company Tenure]]&lt;=15,"11-15",Table1[[#This Row],[Company Tenure]]&lt;=20, "15-20",Table1[[#This Row],[Company Tenure]]&gt;20,"Above 20")</f>
        <v>1-5</v>
      </c>
    </row>
    <row r="457" spans="1:16" x14ac:dyDescent="0.25">
      <c r="A457" t="s">
        <v>969</v>
      </c>
      <c r="B457" t="s">
        <v>132</v>
      </c>
      <c r="C457" t="s">
        <v>351</v>
      </c>
      <c r="D457" t="s">
        <v>1</v>
      </c>
      <c r="E457">
        <v>43</v>
      </c>
      <c r="F457" t="s">
        <v>154</v>
      </c>
      <c r="G457" t="s">
        <v>44</v>
      </c>
      <c r="H457" s="2">
        <v>44379</v>
      </c>
      <c r="I457" s="1">
        <v>41767</v>
      </c>
      <c r="J457" s="3">
        <v>12</v>
      </c>
      <c r="K457" t="s">
        <v>970</v>
      </c>
      <c r="L457" t="s">
        <v>54</v>
      </c>
      <c r="M457">
        <v>3</v>
      </c>
      <c r="N457" t="str" cm="1">
        <f t="array" ref="N457">_xlfn.IFS(AND(24&lt;=Table1[[#This Row],[Age]],Table1[[#This Row],[Age]]&lt;=30),"24-30",Table1[[#This Row],[Age]]&lt;=35,"31-35",Table1[[#This Row],[Age]]&lt;=40,"36-40",Table1[[#This Row],[Age]]&lt;=45,"41-45",Table1[[#This Row],[Age]]&lt;=50,"46-50",Table1[[#This Row],[Age]]&lt;=55,"51-55",Table1[[#This Row],[Age]]&lt;=60,"56-60",Table1[[#This Row],[Age]]&lt;=66,"61-66")</f>
        <v>41-45</v>
      </c>
      <c r="O457" t="s">
        <v>1076</v>
      </c>
      <c r="P457" t="str" cm="1">
        <f t="array" ref="P457">_xlfn.IFS(Table1[[#This Row],[Company Tenure]]&lt;=5,"1-5",Table1[[#This Row],[Company Tenure]]&lt;=10,"6-10",Table1[[#This Row],[Company Tenure]]&lt;=15,"11-15",Table1[[#This Row],[Company Tenure]]&lt;=20, "15-20",Table1[[#This Row],[Company Tenure]]&gt;20,"Above 20")</f>
        <v>11-15</v>
      </c>
    </row>
    <row r="458" spans="1:16" x14ac:dyDescent="0.25">
      <c r="A458" t="s">
        <v>971</v>
      </c>
      <c r="B458" t="s">
        <v>221</v>
      </c>
      <c r="C458" t="s">
        <v>118</v>
      </c>
      <c r="D458" t="s">
        <v>23</v>
      </c>
      <c r="E458">
        <v>33</v>
      </c>
      <c r="F458" t="s">
        <v>36</v>
      </c>
      <c r="G458" t="s">
        <v>2</v>
      </c>
      <c r="H458" s="2">
        <v>144721</v>
      </c>
      <c r="I458" s="1">
        <v>43390</v>
      </c>
      <c r="J458" s="3">
        <v>7</v>
      </c>
      <c r="K458" t="s">
        <v>972</v>
      </c>
      <c r="L458" t="s">
        <v>65</v>
      </c>
      <c r="M458">
        <v>3</v>
      </c>
      <c r="N458" t="str" cm="1">
        <f t="array" ref="N458">_xlfn.IFS(AND(24&lt;=Table1[[#This Row],[Age]],Table1[[#This Row],[Age]]&lt;=30),"24-30",Table1[[#This Row],[Age]]&lt;=35,"31-35",Table1[[#This Row],[Age]]&lt;=40,"36-40",Table1[[#This Row],[Age]]&lt;=45,"41-45",Table1[[#This Row],[Age]]&lt;=50,"46-50",Table1[[#This Row],[Age]]&lt;=55,"51-55",Table1[[#This Row],[Age]]&lt;=60,"56-60",Table1[[#This Row],[Age]]&lt;=66,"61-66")</f>
        <v>31-35</v>
      </c>
      <c r="O458" t="s">
        <v>1074</v>
      </c>
      <c r="P458" t="str" cm="1">
        <f t="array" ref="P458">_xlfn.IFS(Table1[[#This Row],[Company Tenure]]&lt;=5,"1-5",Table1[[#This Row],[Company Tenure]]&lt;=10,"6-10",Table1[[#This Row],[Company Tenure]]&lt;=15,"11-15",Table1[[#This Row],[Company Tenure]]&lt;=20, "15-20",Table1[[#This Row],[Company Tenure]]&gt;20,"Above 20")</f>
        <v>6-10</v>
      </c>
    </row>
    <row r="459" spans="1:16" x14ac:dyDescent="0.25">
      <c r="A459" t="s">
        <v>973</v>
      </c>
      <c r="B459" t="s">
        <v>232</v>
      </c>
      <c r="C459" t="s">
        <v>427</v>
      </c>
      <c r="D459" t="s">
        <v>8</v>
      </c>
      <c r="E459">
        <v>41</v>
      </c>
      <c r="F459" t="s">
        <v>9</v>
      </c>
      <c r="G459" t="s">
        <v>44</v>
      </c>
      <c r="H459" s="2">
        <v>75470</v>
      </c>
      <c r="I459" s="1">
        <v>40995</v>
      </c>
      <c r="J459" s="3">
        <v>14</v>
      </c>
      <c r="K459" t="s">
        <v>974</v>
      </c>
      <c r="L459" t="s">
        <v>85</v>
      </c>
      <c r="M459">
        <v>5</v>
      </c>
      <c r="N459" t="str" cm="1">
        <f t="array" ref="N459">_xlfn.IFS(AND(24&lt;=Table1[[#This Row],[Age]],Table1[[#This Row],[Age]]&lt;=30),"24-30",Table1[[#This Row],[Age]]&lt;=35,"31-35",Table1[[#This Row],[Age]]&lt;=40,"36-40",Table1[[#This Row],[Age]]&lt;=45,"41-45",Table1[[#This Row],[Age]]&lt;=50,"46-50",Table1[[#This Row],[Age]]&lt;=55,"51-55",Table1[[#This Row],[Age]]&lt;=60,"56-60",Table1[[#This Row],[Age]]&lt;=66,"61-66")</f>
        <v>41-45</v>
      </c>
      <c r="O459" t="s">
        <v>1077</v>
      </c>
      <c r="P459" t="str" cm="1">
        <f t="array" ref="P459">_xlfn.IFS(Table1[[#This Row],[Company Tenure]]&lt;=5,"1-5",Table1[[#This Row],[Company Tenure]]&lt;=10,"6-10",Table1[[#This Row],[Company Tenure]]&lt;=15,"11-15",Table1[[#This Row],[Company Tenure]]&lt;=20, "15-20",Table1[[#This Row],[Company Tenure]]&gt;20,"Above 20")</f>
        <v>11-15</v>
      </c>
    </row>
    <row r="460" spans="1:16" x14ac:dyDescent="0.25">
      <c r="A460" t="s">
        <v>975</v>
      </c>
      <c r="B460" t="s">
        <v>316</v>
      </c>
      <c r="C460" t="s">
        <v>7</v>
      </c>
      <c r="D460" t="s">
        <v>1</v>
      </c>
      <c r="E460">
        <v>31</v>
      </c>
      <c r="F460" t="s">
        <v>32</v>
      </c>
      <c r="G460" t="s">
        <v>17</v>
      </c>
      <c r="H460" s="2">
        <v>76276.13</v>
      </c>
      <c r="I460" s="1">
        <v>42423</v>
      </c>
      <c r="J460" s="3">
        <v>10</v>
      </c>
      <c r="K460" t="s">
        <v>976</v>
      </c>
      <c r="L460" t="s">
        <v>11</v>
      </c>
      <c r="M460">
        <v>3</v>
      </c>
      <c r="N460" t="str" cm="1">
        <f t="array" ref="N460">_xlfn.IFS(AND(24&lt;=Table1[[#This Row],[Age]],Table1[[#This Row],[Age]]&lt;=30),"24-30",Table1[[#This Row],[Age]]&lt;=35,"31-35",Table1[[#This Row],[Age]]&lt;=40,"36-40",Table1[[#This Row],[Age]]&lt;=45,"41-45",Table1[[#This Row],[Age]]&lt;=50,"46-50",Table1[[#This Row],[Age]]&lt;=55,"51-55",Table1[[#This Row],[Age]]&lt;=60,"56-60",Table1[[#This Row],[Age]]&lt;=66,"61-66")</f>
        <v>31-35</v>
      </c>
      <c r="O460" t="s">
        <v>1077</v>
      </c>
      <c r="P460" t="str" cm="1">
        <f t="array" ref="P460">_xlfn.IFS(Table1[[#This Row],[Company Tenure]]&lt;=5,"1-5",Table1[[#This Row],[Company Tenure]]&lt;=10,"6-10",Table1[[#This Row],[Company Tenure]]&lt;=15,"11-15",Table1[[#This Row],[Company Tenure]]&lt;=20, "15-20",Table1[[#This Row],[Company Tenure]]&gt;20,"Above 20")</f>
        <v>6-10</v>
      </c>
    </row>
    <row r="461" spans="1:16" x14ac:dyDescent="0.25">
      <c r="A461" t="s">
        <v>977</v>
      </c>
      <c r="B461" t="s">
        <v>16</v>
      </c>
      <c r="C461" t="s">
        <v>169</v>
      </c>
      <c r="D461" t="s">
        <v>23</v>
      </c>
      <c r="E461">
        <v>48</v>
      </c>
      <c r="F461" t="s">
        <v>1066</v>
      </c>
      <c r="G461" t="s">
        <v>100</v>
      </c>
      <c r="H461" s="2">
        <v>62827.05</v>
      </c>
      <c r="I461" s="1">
        <v>40812</v>
      </c>
      <c r="J461" s="3">
        <v>15</v>
      </c>
      <c r="K461" t="s">
        <v>280</v>
      </c>
      <c r="L461" t="s">
        <v>107</v>
      </c>
      <c r="M461">
        <v>3</v>
      </c>
      <c r="N461" t="str" cm="1">
        <f t="array" ref="N461">_xlfn.IFS(AND(24&lt;=Table1[[#This Row],[Age]],Table1[[#This Row],[Age]]&lt;=30),"24-30",Table1[[#This Row],[Age]]&lt;=35,"31-35",Table1[[#This Row],[Age]]&lt;=40,"36-40",Table1[[#This Row],[Age]]&lt;=45,"41-45",Table1[[#This Row],[Age]]&lt;=50,"46-50",Table1[[#This Row],[Age]]&lt;=55,"51-55",Table1[[#This Row],[Age]]&lt;=60,"56-60",Table1[[#This Row],[Age]]&lt;=66,"61-66")</f>
        <v>46-50</v>
      </c>
      <c r="O461" t="s">
        <v>1077</v>
      </c>
      <c r="P461" t="str" cm="1">
        <f t="array" ref="P461">_xlfn.IFS(Table1[[#This Row],[Company Tenure]]&lt;=5,"1-5",Table1[[#This Row],[Company Tenure]]&lt;=10,"6-10",Table1[[#This Row],[Company Tenure]]&lt;=15,"11-15",Table1[[#This Row],[Company Tenure]]&lt;=20, "15-20",Table1[[#This Row],[Company Tenure]]&gt;20,"Above 20")</f>
        <v>11-15</v>
      </c>
    </row>
    <row r="462" spans="1:16" x14ac:dyDescent="0.25">
      <c r="A462" t="s">
        <v>978</v>
      </c>
      <c r="B462" t="s">
        <v>99</v>
      </c>
      <c r="C462" t="s">
        <v>68</v>
      </c>
      <c r="D462" t="s">
        <v>8</v>
      </c>
      <c r="E462">
        <v>30</v>
      </c>
      <c r="F462" t="s">
        <v>32</v>
      </c>
      <c r="G462" t="s">
        <v>17</v>
      </c>
      <c r="H462" s="2">
        <v>77026</v>
      </c>
      <c r="I462" s="1">
        <v>42790</v>
      </c>
      <c r="J462" s="3">
        <v>9</v>
      </c>
      <c r="K462" t="s">
        <v>979</v>
      </c>
      <c r="L462" t="s">
        <v>120</v>
      </c>
      <c r="M462">
        <v>5</v>
      </c>
      <c r="N462" t="str" cm="1">
        <f t="array" ref="N462">_xlfn.IFS(AND(24&lt;=Table1[[#This Row],[Age]],Table1[[#This Row],[Age]]&lt;=30),"24-30",Table1[[#This Row],[Age]]&lt;=35,"31-35",Table1[[#This Row],[Age]]&lt;=40,"36-40",Table1[[#This Row],[Age]]&lt;=45,"41-45",Table1[[#This Row],[Age]]&lt;=50,"46-50",Table1[[#This Row],[Age]]&lt;=55,"51-55",Table1[[#This Row],[Age]]&lt;=60,"56-60",Table1[[#This Row],[Age]]&lt;=66,"61-66")</f>
        <v>24-30</v>
      </c>
      <c r="O462" t="s">
        <v>1077</v>
      </c>
      <c r="P462" t="str" cm="1">
        <f t="array" ref="P462">_xlfn.IFS(Table1[[#This Row],[Company Tenure]]&lt;=5,"1-5",Table1[[#This Row],[Company Tenure]]&lt;=10,"6-10",Table1[[#This Row],[Company Tenure]]&lt;=15,"11-15",Table1[[#This Row],[Company Tenure]]&lt;=20, "15-20",Table1[[#This Row],[Company Tenure]]&gt;20,"Above 20")</f>
        <v>6-10</v>
      </c>
    </row>
    <row r="463" spans="1:16" x14ac:dyDescent="0.25">
      <c r="A463" t="s">
        <v>980</v>
      </c>
      <c r="B463" t="s">
        <v>530</v>
      </c>
      <c r="C463" t="s">
        <v>22</v>
      </c>
      <c r="D463" t="s">
        <v>1</v>
      </c>
      <c r="E463">
        <v>31</v>
      </c>
      <c r="F463" t="s">
        <v>142</v>
      </c>
      <c r="G463" t="s">
        <v>63</v>
      </c>
      <c r="H463" s="2">
        <v>59871</v>
      </c>
      <c r="I463" s="1">
        <v>45112</v>
      </c>
      <c r="J463" s="3">
        <v>3</v>
      </c>
      <c r="K463" t="s">
        <v>981</v>
      </c>
      <c r="L463" t="s">
        <v>65</v>
      </c>
      <c r="M463">
        <v>3</v>
      </c>
      <c r="N463" t="str" cm="1">
        <f t="array" ref="N463">_xlfn.IFS(AND(24&lt;=Table1[[#This Row],[Age]],Table1[[#This Row],[Age]]&lt;=30),"24-30",Table1[[#This Row],[Age]]&lt;=35,"31-35",Table1[[#This Row],[Age]]&lt;=40,"36-40",Table1[[#This Row],[Age]]&lt;=45,"41-45",Table1[[#This Row],[Age]]&lt;=50,"46-50",Table1[[#This Row],[Age]]&lt;=55,"51-55",Table1[[#This Row],[Age]]&lt;=60,"56-60",Table1[[#This Row],[Age]]&lt;=66,"61-66")</f>
        <v>31-35</v>
      </c>
      <c r="O463" t="s">
        <v>1077</v>
      </c>
      <c r="P463" t="str" cm="1">
        <f t="array" ref="P463">_xlfn.IFS(Table1[[#This Row],[Company Tenure]]&lt;=5,"1-5",Table1[[#This Row],[Company Tenure]]&lt;=10,"6-10",Table1[[#This Row],[Company Tenure]]&lt;=15,"11-15",Table1[[#This Row],[Company Tenure]]&lt;=20, "15-20",Table1[[#This Row],[Company Tenure]]&gt;20,"Above 20")</f>
        <v>1-5</v>
      </c>
    </row>
    <row r="464" spans="1:16" x14ac:dyDescent="0.25">
      <c r="A464" t="s">
        <v>982</v>
      </c>
      <c r="B464" t="s">
        <v>316</v>
      </c>
      <c r="C464" t="s">
        <v>269</v>
      </c>
      <c r="D464" t="s">
        <v>1</v>
      </c>
      <c r="E464">
        <v>41</v>
      </c>
      <c r="F464" t="s">
        <v>203</v>
      </c>
      <c r="G464" t="s">
        <v>37</v>
      </c>
      <c r="H464" s="2">
        <v>60128</v>
      </c>
      <c r="I464" s="1" t="s">
        <v>1059</v>
      </c>
      <c r="J464" s="3" t="s">
        <v>1059</v>
      </c>
      <c r="K464" t="s">
        <v>983</v>
      </c>
      <c r="L464" t="s">
        <v>14</v>
      </c>
      <c r="M464">
        <v>4</v>
      </c>
      <c r="N464" t="str" cm="1">
        <f t="array" ref="N464">_xlfn.IFS(AND(24&lt;=Table1[[#This Row],[Age]],Table1[[#This Row],[Age]]&lt;=30),"24-30",Table1[[#This Row],[Age]]&lt;=35,"31-35",Table1[[#This Row],[Age]]&lt;=40,"36-40",Table1[[#This Row],[Age]]&lt;=45,"41-45",Table1[[#This Row],[Age]]&lt;=50,"46-50",Table1[[#This Row],[Age]]&lt;=55,"51-55",Table1[[#This Row],[Age]]&lt;=60,"56-60",Table1[[#This Row],[Age]]&lt;=66,"61-66")</f>
        <v>41-45</v>
      </c>
      <c r="O464" t="s">
        <v>1077</v>
      </c>
      <c r="P464" t="str" cm="1">
        <f t="array" ref="P464">_xlfn.IFS(Table1[[#This Row],[Company Tenure]]&lt;=5,"1-5",Table1[[#This Row],[Company Tenure]]&lt;=10,"6-10",Table1[[#This Row],[Company Tenure]]&lt;=15,"11-15",Table1[[#This Row],[Company Tenure]]&lt;=20, "15-20",Table1[[#This Row],[Company Tenure]]&gt;20,"Above 20")</f>
        <v>Above 20</v>
      </c>
    </row>
    <row r="465" spans="1:16" x14ac:dyDescent="0.25">
      <c r="A465" t="s">
        <v>984</v>
      </c>
      <c r="B465" t="s">
        <v>115</v>
      </c>
      <c r="C465" t="s">
        <v>351</v>
      </c>
      <c r="D465" t="s">
        <v>23</v>
      </c>
      <c r="E465">
        <v>42</v>
      </c>
      <c r="F465" t="s">
        <v>313</v>
      </c>
      <c r="G465" t="s">
        <v>100</v>
      </c>
      <c r="H465" s="2">
        <v>81356</v>
      </c>
      <c r="I465" s="1">
        <v>41745</v>
      </c>
      <c r="J465" s="3">
        <v>12</v>
      </c>
      <c r="K465" t="s">
        <v>985</v>
      </c>
      <c r="L465" t="s">
        <v>85</v>
      </c>
      <c r="M465">
        <v>3</v>
      </c>
      <c r="N465" t="str" cm="1">
        <f t="array" ref="N465">_xlfn.IFS(AND(24&lt;=Table1[[#This Row],[Age]],Table1[[#This Row],[Age]]&lt;=30),"24-30",Table1[[#This Row],[Age]]&lt;=35,"31-35",Table1[[#This Row],[Age]]&lt;=40,"36-40",Table1[[#This Row],[Age]]&lt;=45,"41-45",Table1[[#This Row],[Age]]&lt;=50,"46-50",Table1[[#This Row],[Age]]&lt;=55,"51-55",Table1[[#This Row],[Age]]&lt;=60,"56-60",Table1[[#This Row],[Age]]&lt;=66,"61-66")</f>
        <v>41-45</v>
      </c>
      <c r="O465" t="s">
        <v>1077</v>
      </c>
      <c r="P465" t="str" cm="1">
        <f t="array" ref="P465">_xlfn.IFS(Table1[[#This Row],[Company Tenure]]&lt;=5,"1-5",Table1[[#This Row],[Company Tenure]]&lt;=10,"6-10",Table1[[#This Row],[Company Tenure]]&lt;=15,"11-15",Table1[[#This Row],[Company Tenure]]&lt;=20, "15-20",Table1[[#This Row],[Company Tenure]]&gt;20,"Above 20")</f>
        <v>11-15</v>
      </c>
    </row>
    <row r="466" spans="1:16" x14ac:dyDescent="0.25">
      <c r="A466" t="s">
        <v>986</v>
      </c>
      <c r="B466" t="s">
        <v>530</v>
      </c>
      <c r="C466" t="s">
        <v>215</v>
      </c>
      <c r="D466" t="s">
        <v>1</v>
      </c>
      <c r="E466">
        <v>46</v>
      </c>
      <c r="F466" t="s">
        <v>9</v>
      </c>
      <c r="G466" t="s">
        <v>2</v>
      </c>
      <c r="H466" s="2">
        <v>107866</v>
      </c>
      <c r="I466" s="1">
        <v>44172</v>
      </c>
      <c r="J466" s="3">
        <v>5</v>
      </c>
      <c r="K466" t="s">
        <v>987</v>
      </c>
      <c r="L466" t="s">
        <v>85</v>
      </c>
      <c r="M466">
        <v>3</v>
      </c>
      <c r="N466" t="str" cm="1">
        <f t="array" ref="N466">_xlfn.IFS(AND(24&lt;=Table1[[#This Row],[Age]],Table1[[#This Row],[Age]]&lt;=30),"24-30",Table1[[#This Row],[Age]]&lt;=35,"31-35",Table1[[#This Row],[Age]]&lt;=40,"36-40",Table1[[#This Row],[Age]]&lt;=45,"41-45",Table1[[#This Row],[Age]]&lt;=50,"46-50",Table1[[#This Row],[Age]]&lt;=55,"51-55",Table1[[#This Row],[Age]]&lt;=60,"56-60",Table1[[#This Row],[Age]]&lt;=66,"61-66")</f>
        <v>46-50</v>
      </c>
      <c r="O466" t="s">
        <v>1074</v>
      </c>
      <c r="P466" t="str" cm="1">
        <f t="array" ref="P466">_xlfn.IFS(Table1[[#This Row],[Company Tenure]]&lt;=5,"1-5",Table1[[#This Row],[Company Tenure]]&lt;=10,"6-10",Table1[[#This Row],[Company Tenure]]&lt;=15,"11-15",Table1[[#This Row],[Company Tenure]]&lt;=20, "15-20",Table1[[#This Row],[Company Tenure]]&gt;20,"Above 20")</f>
        <v>1-5</v>
      </c>
    </row>
    <row r="467" spans="1:16" x14ac:dyDescent="0.25">
      <c r="A467" t="s">
        <v>988</v>
      </c>
      <c r="B467" t="s">
        <v>232</v>
      </c>
      <c r="C467" t="s">
        <v>485</v>
      </c>
      <c r="D467" t="s">
        <v>1</v>
      </c>
      <c r="E467">
        <v>48</v>
      </c>
      <c r="F467" t="s">
        <v>154</v>
      </c>
      <c r="G467" t="s">
        <v>2</v>
      </c>
      <c r="H467" s="2">
        <v>59638.98</v>
      </c>
      <c r="I467" s="1">
        <v>39405</v>
      </c>
      <c r="J467" s="3">
        <v>18</v>
      </c>
      <c r="K467" t="s">
        <v>989</v>
      </c>
      <c r="L467" t="s">
        <v>49</v>
      </c>
      <c r="M467">
        <v>4</v>
      </c>
      <c r="N467" t="str" cm="1">
        <f t="array" ref="N467">_xlfn.IFS(AND(24&lt;=Table1[[#This Row],[Age]],Table1[[#This Row],[Age]]&lt;=30),"24-30",Table1[[#This Row],[Age]]&lt;=35,"31-35",Table1[[#This Row],[Age]]&lt;=40,"36-40",Table1[[#This Row],[Age]]&lt;=45,"41-45",Table1[[#This Row],[Age]]&lt;=50,"46-50",Table1[[#This Row],[Age]]&lt;=55,"51-55",Table1[[#This Row],[Age]]&lt;=60,"56-60",Table1[[#This Row],[Age]]&lt;=66,"61-66")</f>
        <v>46-50</v>
      </c>
      <c r="O467" t="s">
        <v>1077</v>
      </c>
      <c r="P467" t="str" cm="1">
        <f t="array" ref="P467">_xlfn.IFS(Table1[[#This Row],[Company Tenure]]&lt;=5,"1-5",Table1[[#This Row],[Company Tenure]]&lt;=10,"6-10",Table1[[#This Row],[Company Tenure]]&lt;=15,"11-15",Table1[[#This Row],[Company Tenure]]&lt;=20, "15-20",Table1[[#This Row],[Company Tenure]]&gt;20,"Above 20")</f>
        <v>15-20</v>
      </c>
    </row>
    <row r="468" spans="1:16" x14ac:dyDescent="0.25">
      <c r="A468" t="s">
        <v>990</v>
      </c>
      <c r="B468" t="s">
        <v>232</v>
      </c>
      <c r="C468" t="s">
        <v>962</v>
      </c>
      <c r="D468" t="s">
        <v>1</v>
      </c>
      <c r="E468">
        <v>39</v>
      </c>
      <c r="F468" t="s">
        <v>181</v>
      </c>
      <c r="G468" t="s">
        <v>105</v>
      </c>
      <c r="H468" s="2">
        <v>86678</v>
      </c>
      <c r="I468" s="1">
        <v>40351</v>
      </c>
      <c r="J468" s="3">
        <v>16</v>
      </c>
      <c r="K468" t="s">
        <v>432</v>
      </c>
      <c r="L468" t="s">
        <v>54</v>
      </c>
      <c r="M468">
        <v>5</v>
      </c>
      <c r="N468" t="str" cm="1">
        <f t="array" ref="N468">_xlfn.IFS(AND(24&lt;=Table1[[#This Row],[Age]],Table1[[#This Row],[Age]]&lt;=30),"24-30",Table1[[#This Row],[Age]]&lt;=35,"31-35",Table1[[#This Row],[Age]]&lt;=40,"36-40",Table1[[#This Row],[Age]]&lt;=45,"41-45",Table1[[#This Row],[Age]]&lt;=50,"46-50",Table1[[#This Row],[Age]]&lt;=55,"51-55",Table1[[#This Row],[Age]]&lt;=60,"56-60",Table1[[#This Row],[Age]]&lt;=66,"61-66")</f>
        <v>36-40</v>
      </c>
      <c r="O468" t="s">
        <v>1077</v>
      </c>
      <c r="P468" t="str" cm="1">
        <f t="array" ref="P468">_xlfn.IFS(Table1[[#This Row],[Company Tenure]]&lt;=5,"1-5",Table1[[#This Row],[Company Tenure]]&lt;=10,"6-10",Table1[[#This Row],[Company Tenure]]&lt;=15,"11-15",Table1[[#This Row],[Company Tenure]]&lt;=20, "15-20",Table1[[#This Row],[Company Tenure]]&gt;20,"Above 20")</f>
        <v>15-20</v>
      </c>
    </row>
    <row r="469" spans="1:16" x14ac:dyDescent="0.25">
      <c r="A469" t="s">
        <v>991</v>
      </c>
      <c r="B469" t="s">
        <v>514</v>
      </c>
      <c r="C469" t="s">
        <v>427</v>
      </c>
      <c r="D469" t="s">
        <v>8</v>
      </c>
      <c r="E469">
        <v>39</v>
      </c>
      <c r="F469" t="s">
        <v>154</v>
      </c>
      <c r="G469" t="s">
        <v>17</v>
      </c>
      <c r="H469" s="2">
        <v>45047</v>
      </c>
      <c r="I469" s="1">
        <v>39587</v>
      </c>
      <c r="J469" s="3">
        <v>18</v>
      </c>
      <c r="K469" t="s">
        <v>992</v>
      </c>
      <c r="L469" t="s">
        <v>28</v>
      </c>
      <c r="M469">
        <v>4</v>
      </c>
      <c r="N469" t="str" cm="1">
        <f t="array" ref="N469">_xlfn.IFS(AND(24&lt;=Table1[[#This Row],[Age]],Table1[[#This Row],[Age]]&lt;=30),"24-30",Table1[[#This Row],[Age]]&lt;=35,"31-35",Table1[[#This Row],[Age]]&lt;=40,"36-40",Table1[[#This Row],[Age]]&lt;=45,"41-45",Table1[[#This Row],[Age]]&lt;=50,"46-50",Table1[[#This Row],[Age]]&lt;=55,"51-55",Table1[[#This Row],[Age]]&lt;=60,"56-60",Table1[[#This Row],[Age]]&lt;=66,"61-66")</f>
        <v>36-40</v>
      </c>
      <c r="O469" t="s">
        <v>1076</v>
      </c>
      <c r="P469" t="str" cm="1">
        <f t="array" ref="P469">_xlfn.IFS(Table1[[#This Row],[Company Tenure]]&lt;=5,"1-5",Table1[[#This Row],[Company Tenure]]&lt;=10,"6-10",Table1[[#This Row],[Company Tenure]]&lt;=15,"11-15",Table1[[#This Row],[Company Tenure]]&lt;=20, "15-20",Table1[[#This Row],[Company Tenure]]&gt;20,"Above 20")</f>
        <v>15-20</v>
      </c>
    </row>
    <row r="470" spans="1:16" x14ac:dyDescent="0.25">
      <c r="A470" t="s">
        <v>993</v>
      </c>
      <c r="B470" t="s">
        <v>6</v>
      </c>
      <c r="C470" t="s">
        <v>80</v>
      </c>
      <c r="D470" t="s">
        <v>8</v>
      </c>
      <c r="E470">
        <v>51</v>
      </c>
      <c r="F470" t="s">
        <v>32</v>
      </c>
      <c r="G470" t="s">
        <v>161</v>
      </c>
      <c r="H470" s="2">
        <v>161135</v>
      </c>
      <c r="I470" s="1">
        <v>38389</v>
      </c>
      <c r="J470" s="3">
        <v>21</v>
      </c>
      <c r="K470" t="s">
        <v>994</v>
      </c>
      <c r="L470" t="s">
        <v>65</v>
      </c>
      <c r="M470">
        <v>3</v>
      </c>
      <c r="N470" t="str" cm="1">
        <f t="array" ref="N470">_xlfn.IFS(AND(24&lt;=Table1[[#This Row],[Age]],Table1[[#This Row],[Age]]&lt;=30),"24-30",Table1[[#This Row],[Age]]&lt;=35,"31-35",Table1[[#This Row],[Age]]&lt;=40,"36-40",Table1[[#This Row],[Age]]&lt;=45,"41-45",Table1[[#This Row],[Age]]&lt;=50,"46-50",Table1[[#This Row],[Age]]&lt;=55,"51-55",Table1[[#This Row],[Age]]&lt;=60,"56-60",Table1[[#This Row],[Age]]&lt;=66,"61-66")</f>
        <v>51-55</v>
      </c>
      <c r="O470" t="s">
        <v>1078</v>
      </c>
      <c r="P470" t="str" cm="1">
        <f t="array" ref="P470">_xlfn.IFS(Table1[[#This Row],[Company Tenure]]&lt;=5,"1-5",Table1[[#This Row],[Company Tenure]]&lt;=10,"6-10",Table1[[#This Row],[Company Tenure]]&lt;=15,"11-15",Table1[[#This Row],[Company Tenure]]&lt;=20, "15-20",Table1[[#This Row],[Company Tenure]]&gt;20,"Above 20")</f>
        <v>Above 20</v>
      </c>
    </row>
    <row r="471" spans="1:16" x14ac:dyDescent="0.25">
      <c r="A471" t="s">
        <v>995</v>
      </c>
      <c r="B471" t="s">
        <v>321</v>
      </c>
      <c r="C471" t="s">
        <v>799</v>
      </c>
      <c r="D471" t="s">
        <v>8</v>
      </c>
      <c r="E471">
        <v>41</v>
      </c>
      <c r="F471" t="s">
        <v>181</v>
      </c>
      <c r="G471" t="s">
        <v>37</v>
      </c>
      <c r="H471" s="2">
        <v>58975.33</v>
      </c>
      <c r="I471" s="1">
        <v>42840</v>
      </c>
      <c r="J471" s="3">
        <v>9</v>
      </c>
      <c r="K471" t="s">
        <v>996</v>
      </c>
      <c r="L471" t="s">
        <v>11</v>
      </c>
      <c r="M471">
        <v>3</v>
      </c>
      <c r="N471" t="str" cm="1">
        <f t="array" ref="N471">_xlfn.IFS(AND(24&lt;=Table1[[#This Row],[Age]],Table1[[#This Row],[Age]]&lt;=30),"24-30",Table1[[#This Row],[Age]]&lt;=35,"31-35",Table1[[#This Row],[Age]]&lt;=40,"36-40",Table1[[#This Row],[Age]]&lt;=45,"41-45",Table1[[#This Row],[Age]]&lt;=50,"46-50",Table1[[#This Row],[Age]]&lt;=55,"51-55",Table1[[#This Row],[Age]]&lt;=60,"56-60",Table1[[#This Row],[Age]]&lt;=66,"61-66")</f>
        <v>41-45</v>
      </c>
      <c r="O471" t="s">
        <v>1077</v>
      </c>
      <c r="P471" t="str" cm="1">
        <f t="array" ref="P471">_xlfn.IFS(Table1[[#This Row],[Company Tenure]]&lt;=5,"1-5",Table1[[#This Row],[Company Tenure]]&lt;=10,"6-10",Table1[[#This Row],[Company Tenure]]&lt;=15,"11-15",Table1[[#This Row],[Company Tenure]]&lt;=20, "15-20",Table1[[#This Row],[Company Tenure]]&gt;20,"Above 20")</f>
        <v>6-10</v>
      </c>
    </row>
    <row r="472" spans="1:16" x14ac:dyDescent="0.25">
      <c r="A472" t="s">
        <v>997</v>
      </c>
      <c r="B472" t="s">
        <v>73</v>
      </c>
      <c r="C472" t="s">
        <v>68</v>
      </c>
      <c r="D472" t="s">
        <v>8</v>
      </c>
      <c r="E472">
        <v>42</v>
      </c>
      <c r="F472" t="s">
        <v>36</v>
      </c>
      <c r="G472" t="s">
        <v>44</v>
      </c>
      <c r="H472" s="2">
        <v>91170</v>
      </c>
      <c r="I472" s="1">
        <v>38812</v>
      </c>
      <c r="J472" s="3">
        <v>20</v>
      </c>
      <c r="K472" t="s">
        <v>998</v>
      </c>
      <c r="L472" t="s">
        <v>39</v>
      </c>
      <c r="M472">
        <v>3</v>
      </c>
      <c r="N472" t="str" cm="1">
        <f t="array" ref="N472">_xlfn.IFS(AND(24&lt;=Table1[[#This Row],[Age]],Table1[[#This Row],[Age]]&lt;=30),"24-30",Table1[[#This Row],[Age]]&lt;=35,"31-35",Table1[[#This Row],[Age]]&lt;=40,"36-40",Table1[[#This Row],[Age]]&lt;=45,"41-45",Table1[[#This Row],[Age]]&lt;=50,"46-50",Table1[[#This Row],[Age]]&lt;=55,"51-55",Table1[[#This Row],[Age]]&lt;=60,"56-60",Table1[[#This Row],[Age]]&lt;=66,"61-66")</f>
        <v>41-45</v>
      </c>
      <c r="O472" t="s">
        <v>1077</v>
      </c>
      <c r="P472" t="str" cm="1">
        <f t="array" ref="P472">_xlfn.IFS(Table1[[#This Row],[Company Tenure]]&lt;=5,"1-5",Table1[[#This Row],[Company Tenure]]&lt;=10,"6-10",Table1[[#This Row],[Company Tenure]]&lt;=15,"11-15",Table1[[#This Row],[Company Tenure]]&lt;=20, "15-20",Table1[[#This Row],[Company Tenure]]&gt;20,"Above 20")</f>
        <v>15-20</v>
      </c>
    </row>
    <row r="473" spans="1:16" x14ac:dyDescent="0.25">
      <c r="A473" t="s">
        <v>999</v>
      </c>
      <c r="B473" t="s">
        <v>476</v>
      </c>
      <c r="C473" t="s">
        <v>799</v>
      </c>
      <c r="D473" t="s">
        <v>1</v>
      </c>
      <c r="E473">
        <v>54</v>
      </c>
      <c r="F473" t="s">
        <v>295</v>
      </c>
      <c r="G473" t="s">
        <v>44</v>
      </c>
      <c r="H473" s="2">
        <v>65732</v>
      </c>
      <c r="I473" s="1">
        <v>40207</v>
      </c>
      <c r="J473" s="3">
        <v>16</v>
      </c>
      <c r="K473" t="s">
        <v>1000</v>
      </c>
      <c r="L473" t="s">
        <v>49</v>
      </c>
      <c r="M473">
        <v>3</v>
      </c>
      <c r="N473" t="str" cm="1">
        <f t="array" ref="N473">_xlfn.IFS(AND(24&lt;=Table1[[#This Row],[Age]],Table1[[#This Row],[Age]]&lt;=30),"24-30",Table1[[#This Row],[Age]]&lt;=35,"31-35",Table1[[#This Row],[Age]]&lt;=40,"36-40",Table1[[#This Row],[Age]]&lt;=45,"41-45",Table1[[#This Row],[Age]]&lt;=50,"46-50",Table1[[#This Row],[Age]]&lt;=55,"51-55",Table1[[#This Row],[Age]]&lt;=60,"56-60",Table1[[#This Row],[Age]]&lt;=66,"61-66")</f>
        <v>51-55</v>
      </c>
      <c r="O473" t="s">
        <v>1077</v>
      </c>
      <c r="P473" t="str" cm="1">
        <f t="array" ref="P473">_xlfn.IFS(Table1[[#This Row],[Company Tenure]]&lt;=5,"1-5",Table1[[#This Row],[Company Tenure]]&lt;=10,"6-10",Table1[[#This Row],[Company Tenure]]&lt;=15,"11-15",Table1[[#This Row],[Company Tenure]]&lt;=20, "15-20",Table1[[#This Row],[Company Tenure]]&gt;20,"Above 20")</f>
        <v>15-20</v>
      </c>
    </row>
    <row r="474" spans="1:16" x14ac:dyDescent="0.25">
      <c r="A474" t="s">
        <v>1001</v>
      </c>
      <c r="B474" t="s">
        <v>184</v>
      </c>
      <c r="C474" t="s">
        <v>589</v>
      </c>
      <c r="D474" t="s">
        <v>1</v>
      </c>
      <c r="E474">
        <v>35</v>
      </c>
      <c r="F474" t="s">
        <v>32</v>
      </c>
      <c r="G474" t="s">
        <v>44</v>
      </c>
      <c r="H474" s="2">
        <v>75942</v>
      </c>
      <c r="I474" s="1">
        <v>42981</v>
      </c>
      <c r="J474" s="3">
        <v>9</v>
      </c>
      <c r="K474" t="s">
        <v>440</v>
      </c>
      <c r="L474" t="s">
        <v>19</v>
      </c>
      <c r="M474">
        <v>5</v>
      </c>
      <c r="N474" t="str" cm="1">
        <f t="array" ref="N474">_xlfn.IFS(AND(24&lt;=Table1[[#This Row],[Age]],Table1[[#This Row],[Age]]&lt;=30),"24-30",Table1[[#This Row],[Age]]&lt;=35,"31-35",Table1[[#This Row],[Age]]&lt;=40,"36-40",Table1[[#This Row],[Age]]&lt;=45,"41-45",Table1[[#This Row],[Age]]&lt;=50,"46-50",Table1[[#This Row],[Age]]&lt;=55,"51-55",Table1[[#This Row],[Age]]&lt;=60,"56-60",Table1[[#This Row],[Age]]&lt;=66,"61-66")</f>
        <v>31-35</v>
      </c>
      <c r="O474" t="s">
        <v>1077</v>
      </c>
      <c r="P474" t="str" cm="1">
        <f t="array" ref="P474">_xlfn.IFS(Table1[[#This Row],[Company Tenure]]&lt;=5,"1-5",Table1[[#This Row],[Company Tenure]]&lt;=10,"6-10",Table1[[#This Row],[Company Tenure]]&lt;=15,"11-15",Table1[[#This Row],[Company Tenure]]&lt;=20, "15-20",Table1[[#This Row],[Company Tenure]]&gt;20,"Above 20")</f>
        <v>6-10</v>
      </c>
    </row>
    <row r="475" spans="1:16" x14ac:dyDescent="0.25">
      <c r="A475" t="s">
        <v>1002</v>
      </c>
      <c r="B475" t="s">
        <v>633</v>
      </c>
      <c r="C475" t="s">
        <v>589</v>
      </c>
      <c r="D475" t="s">
        <v>1</v>
      </c>
      <c r="E475">
        <v>48</v>
      </c>
      <c r="F475" t="s">
        <v>142</v>
      </c>
      <c r="G475" t="s">
        <v>44</v>
      </c>
      <c r="H475" s="2">
        <v>52018.05</v>
      </c>
      <c r="I475" s="1" t="s">
        <v>1059</v>
      </c>
      <c r="J475" s="3" t="s">
        <v>1059</v>
      </c>
      <c r="K475" t="s">
        <v>1003</v>
      </c>
      <c r="L475" t="s">
        <v>19</v>
      </c>
      <c r="M475">
        <v>4</v>
      </c>
      <c r="N475" t="str" cm="1">
        <f t="array" ref="N475">_xlfn.IFS(AND(24&lt;=Table1[[#This Row],[Age]],Table1[[#This Row],[Age]]&lt;=30),"24-30",Table1[[#This Row],[Age]]&lt;=35,"31-35",Table1[[#This Row],[Age]]&lt;=40,"36-40",Table1[[#This Row],[Age]]&lt;=45,"41-45",Table1[[#This Row],[Age]]&lt;=50,"46-50",Table1[[#This Row],[Age]]&lt;=55,"51-55",Table1[[#This Row],[Age]]&lt;=60,"56-60",Table1[[#This Row],[Age]]&lt;=66,"61-66")</f>
        <v>46-50</v>
      </c>
      <c r="O475" t="s">
        <v>1077</v>
      </c>
      <c r="P475" t="str" cm="1">
        <f t="array" ref="P475">_xlfn.IFS(Table1[[#This Row],[Company Tenure]]&lt;=5,"1-5",Table1[[#This Row],[Company Tenure]]&lt;=10,"6-10",Table1[[#This Row],[Company Tenure]]&lt;=15,"11-15",Table1[[#This Row],[Company Tenure]]&lt;=20, "15-20",Table1[[#This Row],[Company Tenure]]&gt;20,"Above 20")</f>
        <v>Above 20</v>
      </c>
    </row>
    <row r="476" spans="1:16" x14ac:dyDescent="0.25">
      <c r="A476" t="s">
        <v>1004</v>
      </c>
      <c r="B476" t="s">
        <v>714</v>
      </c>
      <c r="C476" t="s">
        <v>124</v>
      </c>
      <c r="D476" t="s">
        <v>8</v>
      </c>
      <c r="E476">
        <v>48</v>
      </c>
      <c r="F476" t="s">
        <v>1066</v>
      </c>
      <c r="G476" t="s">
        <v>37</v>
      </c>
      <c r="H476" s="2">
        <v>58991</v>
      </c>
      <c r="I476" s="1">
        <v>39204</v>
      </c>
      <c r="J476" s="3">
        <v>19</v>
      </c>
      <c r="K476" t="s">
        <v>1005</v>
      </c>
      <c r="L476" t="s">
        <v>65</v>
      </c>
      <c r="M476">
        <v>4</v>
      </c>
      <c r="N476" t="str" cm="1">
        <f t="array" ref="N476">_xlfn.IFS(AND(24&lt;=Table1[[#This Row],[Age]],Table1[[#This Row],[Age]]&lt;=30),"24-30",Table1[[#This Row],[Age]]&lt;=35,"31-35",Table1[[#This Row],[Age]]&lt;=40,"36-40",Table1[[#This Row],[Age]]&lt;=45,"41-45",Table1[[#This Row],[Age]]&lt;=50,"46-50",Table1[[#This Row],[Age]]&lt;=55,"51-55",Table1[[#This Row],[Age]]&lt;=60,"56-60",Table1[[#This Row],[Age]]&lt;=66,"61-66")</f>
        <v>46-50</v>
      </c>
      <c r="O476" t="s">
        <v>1077</v>
      </c>
      <c r="P476" t="str" cm="1">
        <f t="array" ref="P476">_xlfn.IFS(Table1[[#This Row],[Company Tenure]]&lt;=5,"1-5",Table1[[#This Row],[Company Tenure]]&lt;=10,"6-10",Table1[[#This Row],[Company Tenure]]&lt;=15,"11-15",Table1[[#This Row],[Company Tenure]]&lt;=20, "15-20",Table1[[#This Row],[Company Tenure]]&gt;20,"Above 20")</f>
        <v>15-20</v>
      </c>
    </row>
    <row r="477" spans="1:16" x14ac:dyDescent="0.25">
      <c r="A477" t="s">
        <v>1006</v>
      </c>
      <c r="B477" t="s">
        <v>127</v>
      </c>
      <c r="C477" t="s">
        <v>402</v>
      </c>
      <c r="D477" t="s">
        <v>1</v>
      </c>
      <c r="E477">
        <v>45</v>
      </c>
      <c r="F477" t="s">
        <v>9</v>
      </c>
      <c r="G477" t="s">
        <v>105</v>
      </c>
      <c r="H477" s="2">
        <v>133578</v>
      </c>
      <c r="I477" s="1">
        <v>42850</v>
      </c>
      <c r="J477" s="3">
        <v>9</v>
      </c>
      <c r="K477" t="s">
        <v>1007</v>
      </c>
      <c r="L477" t="s">
        <v>39</v>
      </c>
      <c r="M477">
        <v>2</v>
      </c>
      <c r="N477" t="str" cm="1">
        <f t="array" ref="N477">_xlfn.IFS(AND(24&lt;=Table1[[#This Row],[Age]],Table1[[#This Row],[Age]]&lt;=30),"24-30",Table1[[#This Row],[Age]]&lt;=35,"31-35",Table1[[#This Row],[Age]]&lt;=40,"36-40",Table1[[#This Row],[Age]]&lt;=45,"41-45",Table1[[#This Row],[Age]]&lt;=50,"46-50",Table1[[#This Row],[Age]]&lt;=55,"51-55",Table1[[#This Row],[Age]]&lt;=60,"56-60",Table1[[#This Row],[Age]]&lt;=66,"61-66")</f>
        <v>41-45</v>
      </c>
      <c r="O477" t="s">
        <v>1074</v>
      </c>
      <c r="P477" t="str" cm="1">
        <f t="array" ref="P477">_xlfn.IFS(Table1[[#This Row],[Company Tenure]]&lt;=5,"1-5",Table1[[#This Row],[Company Tenure]]&lt;=10,"6-10",Table1[[#This Row],[Company Tenure]]&lt;=15,"11-15",Table1[[#This Row],[Company Tenure]]&lt;=20, "15-20",Table1[[#This Row],[Company Tenure]]&gt;20,"Above 20")</f>
        <v>6-10</v>
      </c>
    </row>
    <row r="478" spans="1:16" x14ac:dyDescent="0.25">
      <c r="A478" t="s">
        <v>1008</v>
      </c>
      <c r="B478" t="s">
        <v>530</v>
      </c>
      <c r="C478" t="s">
        <v>222</v>
      </c>
      <c r="D478" t="s">
        <v>1</v>
      </c>
      <c r="E478">
        <v>44</v>
      </c>
      <c r="F478" t="s">
        <v>133</v>
      </c>
      <c r="G478" t="s">
        <v>17</v>
      </c>
      <c r="H478" s="2">
        <v>60861</v>
      </c>
      <c r="I478" s="1">
        <v>41744</v>
      </c>
      <c r="J478" s="3">
        <v>12</v>
      </c>
      <c r="K478" t="s">
        <v>1009</v>
      </c>
      <c r="L478" t="s">
        <v>107</v>
      </c>
      <c r="M478">
        <v>3</v>
      </c>
      <c r="N478" t="str" cm="1">
        <f t="array" ref="N478">_xlfn.IFS(AND(24&lt;=Table1[[#This Row],[Age]],Table1[[#This Row],[Age]]&lt;=30),"24-30",Table1[[#This Row],[Age]]&lt;=35,"31-35",Table1[[#This Row],[Age]]&lt;=40,"36-40",Table1[[#This Row],[Age]]&lt;=45,"41-45",Table1[[#This Row],[Age]]&lt;=50,"46-50",Table1[[#This Row],[Age]]&lt;=55,"51-55",Table1[[#This Row],[Age]]&lt;=60,"56-60",Table1[[#This Row],[Age]]&lt;=66,"61-66")</f>
        <v>41-45</v>
      </c>
      <c r="O478" t="s">
        <v>1077</v>
      </c>
      <c r="P478" t="str" cm="1">
        <f t="array" ref="P478">_xlfn.IFS(Table1[[#This Row],[Company Tenure]]&lt;=5,"1-5",Table1[[#This Row],[Company Tenure]]&lt;=10,"6-10",Table1[[#This Row],[Company Tenure]]&lt;=15,"11-15",Table1[[#This Row],[Company Tenure]]&lt;=20, "15-20",Table1[[#This Row],[Company Tenure]]&gt;20,"Above 20")</f>
        <v>11-15</v>
      </c>
    </row>
    <row r="479" spans="1:16" x14ac:dyDescent="0.25">
      <c r="A479" t="s">
        <v>1010</v>
      </c>
      <c r="B479" t="s">
        <v>290</v>
      </c>
      <c r="C479" t="s">
        <v>59</v>
      </c>
      <c r="D479" t="s">
        <v>8</v>
      </c>
      <c r="E479">
        <v>36</v>
      </c>
      <c r="F479" t="s">
        <v>9</v>
      </c>
      <c r="G479" t="s">
        <v>17</v>
      </c>
      <c r="H479" s="2">
        <v>97210.36</v>
      </c>
      <c r="I479" s="1">
        <v>40638</v>
      </c>
      <c r="J479" s="3">
        <v>15</v>
      </c>
      <c r="K479" t="s">
        <v>1011</v>
      </c>
      <c r="L479" t="s">
        <v>14</v>
      </c>
      <c r="M479">
        <v>4</v>
      </c>
      <c r="N479" t="str" cm="1">
        <f t="array" ref="N479">_xlfn.IFS(AND(24&lt;=Table1[[#This Row],[Age]],Table1[[#This Row],[Age]]&lt;=30),"24-30",Table1[[#This Row],[Age]]&lt;=35,"31-35",Table1[[#This Row],[Age]]&lt;=40,"36-40",Table1[[#This Row],[Age]]&lt;=45,"41-45",Table1[[#This Row],[Age]]&lt;=50,"46-50",Table1[[#This Row],[Age]]&lt;=55,"51-55",Table1[[#This Row],[Age]]&lt;=60,"56-60",Table1[[#This Row],[Age]]&lt;=66,"61-66")</f>
        <v>36-40</v>
      </c>
      <c r="O479" t="s">
        <v>1077</v>
      </c>
      <c r="P479" t="str" cm="1">
        <f t="array" ref="P479">_xlfn.IFS(Table1[[#This Row],[Company Tenure]]&lt;=5,"1-5",Table1[[#This Row],[Company Tenure]]&lt;=10,"6-10",Table1[[#This Row],[Company Tenure]]&lt;=15,"11-15",Table1[[#This Row],[Company Tenure]]&lt;=20, "15-20",Table1[[#This Row],[Company Tenure]]&gt;20,"Above 20")</f>
        <v>11-15</v>
      </c>
    </row>
    <row r="480" spans="1:16" x14ac:dyDescent="0.25">
      <c r="A480" t="s">
        <v>1012</v>
      </c>
      <c r="B480" t="s">
        <v>43</v>
      </c>
      <c r="C480" t="s">
        <v>222</v>
      </c>
      <c r="D480" t="s">
        <v>23</v>
      </c>
      <c r="E480">
        <v>38</v>
      </c>
      <c r="F480" t="s">
        <v>154</v>
      </c>
      <c r="G480" t="s">
        <v>44</v>
      </c>
      <c r="H480" s="2">
        <v>44842</v>
      </c>
      <c r="I480" s="1">
        <v>41004</v>
      </c>
      <c r="J480" s="3">
        <v>14</v>
      </c>
      <c r="K480" t="s">
        <v>425</v>
      </c>
      <c r="L480" t="s">
        <v>11</v>
      </c>
      <c r="M480">
        <v>3</v>
      </c>
      <c r="N480" t="str" cm="1">
        <f t="array" ref="N480">_xlfn.IFS(AND(24&lt;=Table1[[#This Row],[Age]],Table1[[#This Row],[Age]]&lt;=30),"24-30",Table1[[#This Row],[Age]]&lt;=35,"31-35",Table1[[#This Row],[Age]]&lt;=40,"36-40",Table1[[#This Row],[Age]]&lt;=45,"41-45",Table1[[#This Row],[Age]]&lt;=50,"46-50",Table1[[#This Row],[Age]]&lt;=55,"51-55",Table1[[#This Row],[Age]]&lt;=60,"56-60",Table1[[#This Row],[Age]]&lt;=66,"61-66")</f>
        <v>36-40</v>
      </c>
      <c r="O480" t="s">
        <v>1076</v>
      </c>
      <c r="P480" t="str" cm="1">
        <f t="array" ref="P480">_xlfn.IFS(Table1[[#This Row],[Company Tenure]]&lt;=5,"1-5",Table1[[#This Row],[Company Tenure]]&lt;=10,"6-10",Table1[[#This Row],[Company Tenure]]&lt;=15,"11-15",Table1[[#This Row],[Company Tenure]]&lt;=20, "15-20",Table1[[#This Row],[Company Tenure]]&gt;20,"Above 20")</f>
        <v>11-15</v>
      </c>
    </row>
    <row r="481" spans="1:16" x14ac:dyDescent="0.25">
      <c r="A481" t="s">
        <v>1013</v>
      </c>
      <c r="B481" t="s">
        <v>290</v>
      </c>
      <c r="C481" t="s">
        <v>452</v>
      </c>
      <c r="D481" t="s">
        <v>1</v>
      </c>
      <c r="E481">
        <v>37</v>
      </c>
      <c r="F481" t="s">
        <v>154</v>
      </c>
      <c r="G481" t="s">
        <v>2</v>
      </c>
      <c r="H481" s="2">
        <v>53897</v>
      </c>
      <c r="I481" s="1">
        <v>41782</v>
      </c>
      <c r="J481" s="3">
        <v>12</v>
      </c>
      <c r="K481" t="s">
        <v>1014</v>
      </c>
      <c r="L481" t="s">
        <v>14</v>
      </c>
      <c r="M481">
        <v>4</v>
      </c>
      <c r="N481" t="str" cm="1">
        <f t="array" ref="N481">_xlfn.IFS(AND(24&lt;=Table1[[#This Row],[Age]],Table1[[#This Row],[Age]]&lt;=30),"24-30",Table1[[#This Row],[Age]]&lt;=35,"31-35",Table1[[#This Row],[Age]]&lt;=40,"36-40",Table1[[#This Row],[Age]]&lt;=45,"41-45",Table1[[#This Row],[Age]]&lt;=50,"46-50",Table1[[#This Row],[Age]]&lt;=55,"51-55",Table1[[#This Row],[Age]]&lt;=60,"56-60",Table1[[#This Row],[Age]]&lt;=66,"61-66")</f>
        <v>36-40</v>
      </c>
      <c r="O481" t="s">
        <v>1077</v>
      </c>
      <c r="P481" t="str" cm="1">
        <f t="array" ref="P481">_xlfn.IFS(Table1[[#This Row],[Company Tenure]]&lt;=5,"1-5",Table1[[#This Row],[Company Tenure]]&lt;=10,"6-10",Table1[[#This Row],[Company Tenure]]&lt;=15,"11-15",Table1[[#This Row],[Company Tenure]]&lt;=20, "15-20",Table1[[#This Row],[Company Tenure]]&gt;20,"Above 20")</f>
        <v>11-15</v>
      </c>
    </row>
    <row r="482" spans="1:16" x14ac:dyDescent="0.25">
      <c r="A482" t="s">
        <v>1015</v>
      </c>
      <c r="B482" t="s">
        <v>56</v>
      </c>
      <c r="C482" t="s">
        <v>589</v>
      </c>
      <c r="D482" t="s">
        <v>23</v>
      </c>
      <c r="E482">
        <v>49</v>
      </c>
      <c r="F482" t="s">
        <v>181</v>
      </c>
      <c r="G482" t="s">
        <v>37</v>
      </c>
      <c r="H482" s="2">
        <v>56689</v>
      </c>
      <c r="I482" s="1">
        <v>40582</v>
      </c>
      <c r="J482" s="3">
        <v>15</v>
      </c>
      <c r="K482" t="s">
        <v>57</v>
      </c>
      <c r="L482" t="s">
        <v>39</v>
      </c>
      <c r="M482">
        <v>3</v>
      </c>
      <c r="N482" t="str" cm="1">
        <f t="array" ref="N482">_xlfn.IFS(AND(24&lt;=Table1[[#This Row],[Age]],Table1[[#This Row],[Age]]&lt;=30),"24-30",Table1[[#This Row],[Age]]&lt;=35,"31-35",Table1[[#This Row],[Age]]&lt;=40,"36-40",Table1[[#This Row],[Age]]&lt;=45,"41-45",Table1[[#This Row],[Age]]&lt;=50,"46-50",Table1[[#This Row],[Age]]&lt;=55,"51-55",Table1[[#This Row],[Age]]&lt;=60,"56-60",Table1[[#This Row],[Age]]&lt;=66,"61-66")</f>
        <v>46-50</v>
      </c>
      <c r="O482" t="s">
        <v>1077</v>
      </c>
      <c r="P482" t="str" cm="1">
        <f t="array" ref="P482">_xlfn.IFS(Table1[[#This Row],[Company Tenure]]&lt;=5,"1-5",Table1[[#This Row],[Company Tenure]]&lt;=10,"6-10",Table1[[#This Row],[Company Tenure]]&lt;=15,"11-15",Table1[[#This Row],[Company Tenure]]&lt;=20, "15-20",Table1[[#This Row],[Company Tenure]]&gt;20,"Above 20")</f>
        <v>11-15</v>
      </c>
    </row>
    <row r="483" spans="1:16" x14ac:dyDescent="0.25">
      <c r="A483" t="s">
        <v>1016</v>
      </c>
      <c r="B483" t="s">
        <v>184</v>
      </c>
      <c r="C483" t="s">
        <v>166</v>
      </c>
      <c r="D483" t="s">
        <v>23</v>
      </c>
      <c r="E483">
        <v>38</v>
      </c>
      <c r="F483" t="s">
        <v>142</v>
      </c>
      <c r="G483" t="s">
        <v>37</v>
      </c>
      <c r="H483" s="2">
        <v>63340</v>
      </c>
      <c r="I483" s="1">
        <v>43091</v>
      </c>
      <c r="J483" s="3">
        <v>8</v>
      </c>
      <c r="K483" t="s">
        <v>1017</v>
      </c>
      <c r="L483" t="s">
        <v>28</v>
      </c>
      <c r="M483">
        <v>4</v>
      </c>
      <c r="N483" t="str" cm="1">
        <f t="array" ref="N483">_xlfn.IFS(AND(24&lt;=Table1[[#This Row],[Age]],Table1[[#This Row],[Age]]&lt;=30),"24-30",Table1[[#This Row],[Age]]&lt;=35,"31-35",Table1[[#This Row],[Age]]&lt;=40,"36-40",Table1[[#This Row],[Age]]&lt;=45,"41-45",Table1[[#This Row],[Age]]&lt;=50,"46-50",Table1[[#This Row],[Age]]&lt;=55,"51-55",Table1[[#This Row],[Age]]&lt;=60,"56-60",Table1[[#This Row],[Age]]&lt;=66,"61-66")</f>
        <v>36-40</v>
      </c>
      <c r="O483" t="s">
        <v>1077</v>
      </c>
      <c r="P483" t="str" cm="1">
        <f t="array" ref="P483">_xlfn.IFS(Table1[[#This Row],[Company Tenure]]&lt;=5,"1-5",Table1[[#This Row],[Company Tenure]]&lt;=10,"6-10",Table1[[#This Row],[Company Tenure]]&lt;=15,"11-15",Table1[[#This Row],[Company Tenure]]&lt;=20, "15-20",Table1[[#This Row],[Company Tenure]]&gt;20,"Above 20")</f>
        <v>6-10</v>
      </c>
    </row>
    <row r="484" spans="1:16" x14ac:dyDescent="0.25">
      <c r="A484" t="s">
        <v>1018</v>
      </c>
      <c r="B484" t="s">
        <v>321</v>
      </c>
      <c r="C484" t="s">
        <v>138</v>
      </c>
      <c r="D484" t="s">
        <v>23</v>
      </c>
      <c r="E484">
        <v>32</v>
      </c>
      <c r="F484" t="s">
        <v>181</v>
      </c>
      <c r="G484" t="s">
        <v>44</v>
      </c>
      <c r="H484" s="2">
        <v>43515</v>
      </c>
      <c r="I484" s="1">
        <v>42288</v>
      </c>
      <c r="J484" s="3">
        <v>10</v>
      </c>
      <c r="K484" t="s">
        <v>1019</v>
      </c>
      <c r="L484" t="s">
        <v>25</v>
      </c>
      <c r="M484">
        <v>3</v>
      </c>
      <c r="N484" t="str" cm="1">
        <f t="array" ref="N484">_xlfn.IFS(AND(24&lt;=Table1[[#This Row],[Age]],Table1[[#This Row],[Age]]&lt;=30),"24-30",Table1[[#This Row],[Age]]&lt;=35,"31-35",Table1[[#This Row],[Age]]&lt;=40,"36-40",Table1[[#This Row],[Age]]&lt;=45,"41-45",Table1[[#This Row],[Age]]&lt;=50,"46-50",Table1[[#This Row],[Age]]&lt;=55,"51-55",Table1[[#This Row],[Age]]&lt;=60,"56-60",Table1[[#This Row],[Age]]&lt;=66,"61-66")</f>
        <v>31-35</v>
      </c>
      <c r="O484" t="s">
        <v>1076</v>
      </c>
      <c r="P484" t="str" cm="1">
        <f t="array" ref="P484">_xlfn.IFS(Table1[[#This Row],[Company Tenure]]&lt;=5,"1-5",Table1[[#This Row],[Company Tenure]]&lt;=10,"6-10",Table1[[#This Row],[Company Tenure]]&lt;=15,"11-15",Table1[[#This Row],[Company Tenure]]&lt;=20, "15-20",Table1[[#This Row],[Company Tenure]]&gt;20,"Above 20")</f>
        <v>6-10</v>
      </c>
    </row>
    <row r="485" spans="1:16" x14ac:dyDescent="0.25">
      <c r="A485" t="s">
        <v>1020</v>
      </c>
      <c r="B485" t="s">
        <v>374</v>
      </c>
      <c r="C485" t="s">
        <v>141</v>
      </c>
      <c r="D485" t="s">
        <v>8</v>
      </c>
      <c r="E485">
        <v>35</v>
      </c>
      <c r="F485" t="s">
        <v>154</v>
      </c>
      <c r="G485" t="s">
        <v>2</v>
      </c>
      <c r="H485" s="2">
        <v>64999</v>
      </c>
      <c r="I485" s="1">
        <v>43349</v>
      </c>
      <c r="J485" s="3">
        <v>8</v>
      </c>
      <c r="K485" t="s">
        <v>1021</v>
      </c>
      <c r="L485" t="s">
        <v>14</v>
      </c>
      <c r="M485">
        <v>3</v>
      </c>
      <c r="N485" t="str" cm="1">
        <f t="array" ref="N485">_xlfn.IFS(AND(24&lt;=Table1[[#This Row],[Age]],Table1[[#This Row],[Age]]&lt;=30),"24-30",Table1[[#This Row],[Age]]&lt;=35,"31-35",Table1[[#This Row],[Age]]&lt;=40,"36-40",Table1[[#This Row],[Age]]&lt;=45,"41-45",Table1[[#This Row],[Age]]&lt;=50,"46-50",Table1[[#This Row],[Age]]&lt;=55,"51-55",Table1[[#This Row],[Age]]&lt;=60,"56-60",Table1[[#This Row],[Age]]&lt;=66,"61-66")</f>
        <v>31-35</v>
      </c>
      <c r="O485" t="s">
        <v>1077</v>
      </c>
      <c r="P485" t="str" cm="1">
        <f t="array" ref="P485">_xlfn.IFS(Table1[[#This Row],[Company Tenure]]&lt;=5,"1-5",Table1[[#This Row],[Company Tenure]]&lt;=10,"6-10",Table1[[#This Row],[Company Tenure]]&lt;=15,"11-15",Table1[[#This Row],[Company Tenure]]&lt;=20, "15-20",Table1[[#This Row],[Company Tenure]]&gt;20,"Above 20")</f>
        <v>6-10</v>
      </c>
    </row>
    <row r="486" spans="1:16" x14ac:dyDescent="0.25">
      <c r="A486" t="s">
        <v>1022</v>
      </c>
      <c r="B486" t="s">
        <v>514</v>
      </c>
      <c r="C486" t="s">
        <v>291</v>
      </c>
      <c r="D486" t="s">
        <v>1</v>
      </c>
      <c r="E486">
        <v>61</v>
      </c>
      <c r="F486" t="s">
        <v>36</v>
      </c>
      <c r="G486" t="s">
        <v>37</v>
      </c>
      <c r="H486" s="2">
        <v>86666</v>
      </c>
      <c r="I486" s="1">
        <v>38616</v>
      </c>
      <c r="J486" s="3">
        <v>21</v>
      </c>
      <c r="K486" t="s">
        <v>952</v>
      </c>
      <c r="L486" t="s">
        <v>107</v>
      </c>
      <c r="M486">
        <v>5</v>
      </c>
      <c r="N486" t="str" cm="1">
        <f t="array" ref="N486">_xlfn.IFS(AND(24&lt;=Table1[[#This Row],[Age]],Table1[[#This Row],[Age]]&lt;=30),"24-30",Table1[[#This Row],[Age]]&lt;=35,"31-35",Table1[[#This Row],[Age]]&lt;=40,"36-40",Table1[[#This Row],[Age]]&lt;=45,"41-45",Table1[[#This Row],[Age]]&lt;=50,"46-50",Table1[[#This Row],[Age]]&lt;=55,"51-55",Table1[[#This Row],[Age]]&lt;=60,"56-60",Table1[[#This Row],[Age]]&lt;=66,"61-66")</f>
        <v>61-66</v>
      </c>
      <c r="O486" t="s">
        <v>1077</v>
      </c>
      <c r="P486" t="str" cm="1">
        <f t="array" ref="P486">_xlfn.IFS(Table1[[#This Row],[Company Tenure]]&lt;=5,"1-5",Table1[[#This Row],[Company Tenure]]&lt;=10,"6-10",Table1[[#This Row],[Company Tenure]]&lt;=15,"11-15",Table1[[#This Row],[Company Tenure]]&lt;=20, "15-20",Table1[[#This Row],[Company Tenure]]&gt;20,"Above 20")</f>
        <v>Above 20</v>
      </c>
    </row>
    <row r="487" spans="1:16" x14ac:dyDescent="0.25">
      <c r="A487" t="s">
        <v>1023</v>
      </c>
      <c r="B487" t="s">
        <v>714</v>
      </c>
      <c r="C487" t="s">
        <v>263</v>
      </c>
      <c r="D487" t="s">
        <v>1</v>
      </c>
      <c r="E487">
        <v>41</v>
      </c>
      <c r="F487" t="s">
        <v>36</v>
      </c>
      <c r="G487" t="s">
        <v>63</v>
      </c>
      <c r="H487" s="2">
        <v>100747</v>
      </c>
      <c r="I487" s="1">
        <v>41692</v>
      </c>
      <c r="J487" s="3">
        <v>12</v>
      </c>
      <c r="K487" t="s">
        <v>1024</v>
      </c>
      <c r="L487" t="s">
        <v>14</v>
      </c>
      <c r="M487">
        <v>3</v>
      </c>
      <c r="N487" t="str" cm="1">
        <f t="array" ref="N487">_xlfn.IFS(AND(24&lt;=Table1[[#This Row],[Age]],Table1[[#This Row],[Age]]&lt;=30),"24-30",Table1[[#This Row],[Age]]&lt;=35,"31-35",Table1[[#This Row],[Age]]&lt;=40,"36-40",Table1[[#This Row],[Age]]&lt;=45,"41-45",Table1[[#This Row],[Age]]&lt;=50,"46-50",Table1[[#This Row],[Age]]&lt;=55,"51-55",Table1[[#This Row],[Age]]&lt;=60,"56-60",Table1[[#This Row],[Age]]&lt;=66,"61-66")</f>
        <v>41-45</v>
      </c>
      <c r="O487" t="s">
        <v>1074</v>
      </c>
      <c r="P487" t="str" cm="1">
        <f t="array" ref="P487">_xlfn.IFS(Table1[[#This Row],[Company Tenure]]&lt;=5,"1-5",Table1[[#This Row],[Company Tenure]]&lt;=10,"6-10",Table1[[#This Row],[Company Tenure]]&lt;=15,"11-15",Table1[[#This Row],[Company Tenure]]&lt;=20, "15-20",Table1[[#This Row],[Company Tenure]]&gt;20,"Above 20")</f>
        <v>11-15</v>
      </c>
    </row>
    <row r="488" spans="1:16" x14ac:dyDescent="0.25">
      <c r="A488" t="s">
        <v>1025</v>
      </c>
      <c r="B488" t="s">
        <v>355</v>
      </c>
      <c r="C488" t="s">
        <v>222</v>
      </c>
      <c r="D488" t="s">
        <v>1</v>
      </c>
      <c r="E488">
        <v>41</v>
      </c>
      <c r="F488" t="s">
        <v>32</v>
      </c>
      <c r="G488" t="s">
        <v>17</v>
      </c>
      <c r="H488" s="2">
        <v>82102</v>
      </c>
      <c r="I488" s="1">
        <v>40831</v>
      </c>
      <c r="J488" s="3">
        <v>14</v>
      </c>
      <c r="K488" t="s">
        <v>1026</v>
      </c>
      <c r="L488" t="s">
        <v>49</v>
      </c>
      <c r="M488">
        <v>5</v>
      </c>
      <c r="N488" t="str" cm="1">
        <f t="array" ref="N488">_xlfn.IFS(AND(24&lt;=Table1[[#This Row],[Age]],Table1[[#This Row],[Age]]&lt;=30),"24-30",Table1[[#This Row],[Age]]&lt;=35,"31-35",Table1[[#This Row],[Age]]&lt;=40,"36-40",Table1[[#This Row],[Age]]&lt;=45,"41-45",Table1[[#This Row],[Age]]&lt;=50,"46-50",Table1[[#This Row],[Age]]&lt;=55,"51-55",Table1[[#This Row],[Age]]&lt;=60,"56-60",Table1[[#This Row],[Age]]&lt;=66,"61-66")</f>
        <v>41-45</v>
      </c>
      <c r="O488" t="s">
        <v>1077</v>
      </c>
      <c r="P488" t="str" cm="1">
        <f t="array" ref="P488">_xlfn.IFS(Table1[[#This Row],[Company Tenure]]&lt;=5,"1-5",Table1[[#This Row],[Company Tenure]]&lt;=10,"6-10",Table1[[#This Row],[Company Tenure]]&lt;=15,"11-15",Table1[[#This Row],[Company Tenure]]&lt;=20, "15-20",Table1[[#This Row],[Company Tenure]]&gt;20,"Above 20")</f>
        <v>11-15</v>
      </c>
    </row>
    <row r="489" spans="1:16" x14ac:dyDescent="0.25">
      <c r="A489" t="s">
        <v>1027</v>
      </c>
      <c r="B489" t="s">
        <v>67</v>
      </c>
      <c r="C489" t="s">
        <v>485</v>
      </c>
      <c r="D489" t="s">
        <v>8</v>
      </c>
      <c r="E489">
        <v>32</v>
      </c>
      <c r="F489" t="s">
        <v>203</v>
      </c>
      <c r="G489" t="s">
        <v>2</v>
      </c>
      <c r="H489" s="2">
        <v>72122</v>
      </c>
      <c r="I489" s="1">
        <v>43522</v>
      </c>
      <c r="J489" s="3">
        <v>7</v>
      </c>
      <c r="K489" t="s">
        <v>1028</v>
      </c>
      <c r="L489" t="s">
        <v>65</v>
      </c>
      <c r="M489">
        <v>3</v>
      </c>
      <c r="N489" t="str" cm="1">
        <f t="array" ref="N489">_xlfn.IFS(AND(24&lt;=Table1[[#This Row],[Age]],Table1[[#This Row],[Age]]&lt;=30),"24-30",Table1[[#This Row],[Age]]&lt;=35,"31-35",Table1[[#This Row],[Age]]&lt;=40,"36-40",Table1[[#This Row],[Age]]&lt;=45,"41-45",Table1[[#This Row],[Age]]&lt;=50,"46-50",Table1[[#This Row],[Age]]&lt;=55,"51-55",Table1[[#This Row],[Age]]&lt;=60,"56-60",Table1[[#This Row],[Age]]&lt;=66,"61-66")</f>
        <v>31-35</v>
      </c>
      <c r="O489" t="s">
        <v>1077</v>
      </c>
      <c r="P489" t="str" cm="1">
        <f t="array" ref="P489">_xlfn.IFS(Table1[[#This Row],[Company Tenure]]&lt;=5,"1-5",Table1[[#This Row],[Company Tenure]]&lt;=10,"6-10",Table1[[#This Row],[Company Tenure]]&lt;=15,"11-15",Table1[[#This Row],[Company Tenure]]&lt;=20, "15-20",Table1[[#This Row],[Company Tenure]]&gt;20,"Above 20")</f>
        <v>6-10</v>
      </c>
    </row>
    <row r="490" spans="1:16" x14ac:dyDescent="0.25">
      <c r="A490" t="s">
        <v>1029</v>
      </c>
      <c r="B490" t="s">
        <v>714</v>
      </c>
      <c r="C490" t="s">
        <v>118</v>
      </c>
      <c r="D490" t="s">
        <v>1</v>
      </c>
      <c r="E490">
        <v>55</v>
      </c>
      <c r="F490" t="s">
        <v>295</v>
      </c>
      <c r="G490" t="s">
        <v>161</v>
      </c>
      <c r="H490" s="2">
        <v>172632.23</v>
      </c>
      <c r="I490" s="1">
        <v>44159</v>
      </c>
      <c r="J490" s="3">
        <v>5</v>
      </c>
      <c r="K490" t="s">
        <v>488</v>
      </c>
      <c r="L490" t="s">
        <v>4</v>
      </c>
      <c r="M490">
        <v>3</v>
      </c>
      <c r="N490" t="str" cm="1">
        <f t="array" ref="N490">_xlfn.IFS(AND(24&lt;=Table1[[#This Row],[Age]],Table1[[#This Row],[Age]]&lt;=30),"24-30",Table1[[#This Row],[Age]]&lt;=35,"31-35",Table1[[#This Row],[Age]]&lt;=40,"36-40",Table1[[#This Row],[Age]]&lt;=45,"41-45",Table1[[#This Row],[Age]]&lt;=50,"46-50",Table1[[#This Row],[Age]]&lt;=55,"51-55",Table1[[#This Row],[Age]]&lt;=60,"56-60",Table1[[#This Row],[Age]]&lt;=66,"61-66")</f>
        <v>51-55</v>
      </c>
      <c r="O490" t="s">
        <v>1078</v>
      </c>
      <c r="P490" t="str" cm="1">
        <f t="array" ref="P490">_xlfn.IFS(Table1[[#This Row],[Company Tenure]]&lt;=5,"1-5",Table1[[#This Row],[Company Tenure]]&lt;=10,"6-10",Table1[[#This Row],[Company Tenure]]&lt;=15,"11-15",Table1[[#This Row],[Company Tenure]]&lt;=20, "15-20",Table1[[#This Row],[Company Tenure]]&gt;20,"Above 20")</f>
        <v>1-5</v>
      </c>
    </row>
    <row r="491" spans="1:16" x14ac:dyDescent="0.25">
      <c r="A491" t="s">
        <v>1030</v>
      </c>
      <c r="B491" t="s">
        <v>6</v>
      </c>
      <c r="C491" t="s">
        <v>141</v>
      </c>
      <c r="D491" t="s">
        <v>1</v>
      </c>
      <c r="E491">
        <v>42</v>
      </c>
      <c r="F491" t="s">
        <v>133</v>
      </c>
      <c r="G491" t="s">
        <v>37</v>
      </c>
      <c r="H491" s="2">
        <v>66972</v>
      </c>
      <c r="I491" s="1">
        <v>38619</v>
      </c>
      <c r="J491" s="3">
        <v>21</v>
      </c>
      <c r="K491" t="s">
        <v>143</v>
      </c>
      <c r="L491" t="s">
        <v>107</v>
      </c>
      <c r="M491">
        <v>3</v>
      </c>
      <c r="N491" t="str" cm="1">
        <f t="array" ref="N491">_xlfn.IFS(AND(24&lt;=Table1[[#This Row],[Age]],Table1[[#This Row],[Age]]&lt;=30),"24-30",Table1[[#This Row],[Age]]&lt;=35,"31-35",Table1[[#This Row],[Age]]&lt;=40,"36-40",Table1[[#This Row],[Age]]&lt;=45,"41-45",Table1[[#This Row],[Age]]&lt;=50,"46-50",Table1[[#This Row],[Age]]&lt;=55,"51-55",Table1[[#This Row],[Age]]&lt;=60,"56-60",Table1[[#This Row],[Age]]&lt;=66,"61-66")</f>
        <v>41-45</v>
      </c>
      <c r="O491" t="s">
        <v>1077</v>
      </c>
      <c r="P491" t="str" cm="1">
        <f t="array" ref="P491">_xlfn.IFS(Table1[[#This Row],[Company Tenure]]&lt;=5,"1-5",Table1[[#This Row],[Company Tenure]]&lt;=10,"6-10",Table1[[#This Row],[Company Tenure]]&lt;=15,"11-15",Table1[[#This Row],[Company Tenure]]&lt;=20, "15-20",Table1[[#This Row],[Company Tenure]]&gt;20,"Above 20")</f>
        <v>Above 20</v>
      </c>
    </row>
    <row r="492" spans="1:16" x14ac:dyDescent="0.25">
      <c r="A492" t="s">
        <v>1031</v>
      </c>
      <c r="B492" t="s">
        <v>115</v>
      </c>
      <c r="C492" t="s">
        <v>394</v>
      </c>
      <c r="D492" t="s">
        <v>8</v>
      </c>
      <c r="E492">
        <v>54</v>
      </c>
      <c r="F492" t="s">
        <v>142</v>
      </c>
      <c r="G492" t="s">
        <v>37</v>
      </c>
      <c r="H492" s="2">
        <v>54257</v>
      </c>
      <c r="I492" s="1">
        <v>41933</v>
      </c>
      <c r="J492" s="3">
        <v>11</v>
      </c>
      <c r="K492" t="s">
        <v>1032</v>
      </c>
      <c r="L492" t="s">
        <v>19</v>
      </c>
      <c r="M492">
        <v>4</v>
      </c>
      <c r="N492" t="str" cm="1">
        <f t="array" ref="N492">_xlfn.IFS(AND(24&lt;=Table1[[#This Row],[Age]],Table1[[#This Row],[Age]]&lt;=30),"24-30",Table1[[#This Row],[Age]]&lt;=35,"31-35",Table1[[#This Row],[Age]]&lt;=40,"36-40",Table1[[#This Row],[Age]]&lt;=45,"41-45",Table1[[#This Row],[Age]]&lt;=50,"46-50",Table1[[#This Row],[Age]]&lt;=55,"51-55",Table1[[#This Row],[Age]]&lt;=60,"56-60",Table1[[#This Row],[Age]]&lt;=66,"61-66")</f>
        <v>51-55</v>
      </c>
      <c r="O492" t="s">
        <v>1077</v>
      </c>
      <c r="P492" t="str" cm="1">
        <f t="array" ref="P492">_xlfn.IFS(Table1[[#This Row],[Company Tenure]]&lt;=5,"1-5",Table1[[#This Row],[Company Tenure]]&lt;=10,"6-10",Table1[[#This Row],[Company Tenure]]&lt;=15,"11-15",Table1[[#This Row],[Company Tenure]]&lt;=20, "15-20",Table1[[#This Row],[Company Tenure]]&gt;20,"Above 20")</f>
        <v>11-15</v>
      </c>
    </row>
    <row r="493" spans="1:16" x14ac:dyDescent="0.25">
      <c r="A493" t="s">
        <v>1033</v>
      </c>
      <c r="B493" t="s">
        <v>530</v>
      </c>
      <c r="C493" t="s">
        <v>104</v>
      </c>
      <c r="D493" t="s">
        <v>8</v>
      </c>
      <c r="E493">
        <v>42</v>
      </c>
      <c r="F493" t="s">
        <v>142</v>
      </c>
      <c r="G493" t="s">
        <v>17</v>
      </c>
      <c r="H493" s="2">
        <v>52057</v>
      </c>
      <c r="I493" s="1">
        <v>41321</v>
      </c>
      <c r="J493" s="3">
        <v>13</v>
      </c>
      <c r="K493" t="s">
        <v>731</v>
      </c>
      <c r="L493" t="s">
        <v>107</v>
      </c>
      <c r="M493">
        <v>3</v>
      </c>
      <c r="N493" t="str" cm="1">
        <f t="array" ref="N493">_xlfn.IFS(AND(24&lt;=Table1[[#This Row],[Age]],Table1[[#This Row],[Age]]&lt;=30),"24-30",Table1[[#This Row],[Age]]&lt;=35,"31-35",Table1[[#This Row],[Age]]&lt;=40,"36-40",Table1[[#This Row],[Age]]&lt;=45,"41-45",Table1[[#This Row],[Age]]&lt;=50,"46-50",Table1[[#This Row],[Age]]&lt;=55,"51-55",Table1[[#This Row],[Age]]&lt;=60,"56-60",Table1[[#This Row],[Age]]&lt;=66,"61-66")</f>
        <v>41-45</v>
      </c>
      <c r="O493" t="s">
        <v>1077</v>
      </c>
      <c r="P493" t="str" cm="1">
        <f t="array" ref="P493">_xlfn.IFS(Table1[[#This Row],[Company Tenure]]&lt;=5,"1-5",Table1[[#This Row],[Company Tenure]]&lt;=10,"6-10",Table1[[#This Row],[Company Tenure]]&lt;=15,"11-15",Table1[[#This Row],[Company Tenure]]&lt;=20, "15-20",Table1[[#This Row],[Company Tenure]]&gt;20,"Above 20")</f>
        <v>11-15</v>
      </c>
    </row>
    <row r="494" spans="1:16" x14ac:dyDescent="0.25">
      <c r="A494" t="s">
        <v>1034</v>
      </c>
      <c r="B494" t="s">
        <v>21</v>
      </c>
      <c r="C494" t="s">
        <v>222</v>
      </c>
      <c r="D494" t="s">
        <v>23</v>
      </c>
      <c r="E494">
        <v>54</v>
      </c>
      <c r="F494" t="s">
        <v>154</v>
      </c>
      <c r="G494" t="s">
        <v>37</v>
      </c>
      <c r="H494" s="2">
        <v>52662</v>
      </c>
      <c r="I494" s="1">
        <v>39348</v>
      </c>
      <c r="J494" s="3">
        <v>19</v>
      </c>
      <c r="K494" t="s">
        <v>1035</v>
      </c>
      <c r="L494" t="s">
        <v>28</v>
      </c>
      <c r="M494">
        <v>3</v>
      </c>
      <c r="N494" t="str" cm="1">
        <f t="array" ref="N494">_xlfn.IFS(AND(24&lt;=Table1[[#This Row],[Age]],Table1[[#This Row],[Age]]&lt;=30),"24-30",Table1[[#This Row],[Age]]&lt;=35,"31-35",Table1[[#This Row],[Age]]&lt;=40,"36-40",Table1[[#This Row],[Age]]&lt;=45,"41-45",Table1[[#This Row],[Age]]&lt;=50,"46-50",Table1[[#This Row],[Age]]&lt;=55,"51-55",Table1[[#This Row],[Age]]&lt;=60,"56-60",Table1[[#This Row],[Age]]&lt;=66,"61-66")</f>
        <v>51-55</v>
      </c>
      <c r="O494" t="s">
        <v>1077</v>
      </c>
      <c r="P494" t="str" cm="1">
        <f t="array" ref="P494">_xlfn.IFS(Table1[[#This Row],[Company Tenure]]&lt;=5,"1-5",Table1[[#This Row],[Company Tenure]]&lt;=10,"6-10",Table1[[#This Row],[Company Tenure]]&lt;=15,"11-15",Table1[[#This Row],[Company Tenure]]&lt;=20, "15-20",Table1[[#This Row],[Company Tenure]]&gt;20,"Above 20")</f>
        <v>15-20</v>
      </c>
    </row>
    <row r="495" spans="1:16" x14ac:dyDescent="0.25">
      <c r="A495" t="s">
        <v>1036</v>
      </c>
      <c r="B495" t="s">
        <v>232</v>
      </c>
      <c r="C495" t="s">
        <v>263</v>
      </c>
      <c r="D495" t="s">
        <v>8</v>
      </c>
      <c r="E495">
        <v>47</v>
      </c>
      <c r="F495" t="s">
        <v>142</v>
      </c>
      <c r="G495" t="s">
        <v>100</v>
      </c>
      <c r="H495" s="2">
        <v>54580</v>
      </c>
      <c r="I495" s="1">
        <v>41070</v>
      </c>
      <c r="J495" s="3">
        <v>14</v>
      </c>
      <c r="K495" t="s">
        <v>1037</v>
      </c>
      <c r="L495" t="s">
        <v>107</v>
      </c>
      <c r="M495">
        <v>5</v>
      </c>
      <c r="N495" t="str" cm="1">
        <f t="array" ref="N495">_xlfn.IFS(AND(24&lt;=Table1[[#This Row],[Age]],Table1[[#This Row],[Age]]&lt;=30),"24-30",Table1[[#This Row],[Age]]&lt;=35,"31-35",Table1[[#This Row],[Age]]&lt;=40,"36-40",Table1[[#This Row],[Age]]&lt;=45,"41-45",Table1[[#This Row],[Age]]&lt;=50,"46-50",Table1[[#This Row],[Age]]&lt;=55,"51-55",Table1[[#This Row],[Age]]&lt;=60,"56-60",Table1[[#This Row],[Age]]&lt;=66,"61-66")</f>
        <v>46-50</v>
      </c>
      <c r="O495" t="s">
        <v>1077</v>
      </c>
      <c r="P495" t="str" cm="1">
        <f t="array" ref="P495">_xlfn.IFS(Table1[[#This Row],[Company Tenure]]&lt;=5,"1-5",Table1[[#This Row],[Company Tenure]]&lt;=10,"6-10",Table1[[#This Row],[Company Tenure]]&lt;=15,"11-15",Table1[[#This Row],[Company Tenure]]&lt;=20, "15-20",Table1[[#This Row],[Company Tenure]]&gt;20,"Above 20")</f>
        <v>11-15</v>
      </c>
    </row>
    <row r="496" spans="1:16" x14ac:dyDescent="0.25">
      <c r="A496" t="s">
        <v>1038</v>
      </c>
      <c r="B496" t="s">
        <v>43</v>
      </c>
      <c r="C496" t="s">
        <v>83</v>
      </c>
      <c r="D496" t="s">
        <v>8</v>
      </c>
      <c r="E496">
        <v>48</v>
      </c>
      <c r="F496" t="s">
        <v>313</v>
      </c>
      <c r="G496" t="s">
        <v>2</v>
      </c>
      <c r="H496" s="2">
        <v>131470</v>
      </c>
      <c r="I496" s="1">
        <v>44337</v>
      </c>
      <c r="J496" s="3">
        <v>5</v>
      </c>
      <c r="K496" t="s">
        <v>187</v>
      </c>
      <c r="L496" t="s">
        <v>85</v>
      </c>
      <c r="M496">
        <v>2</v>
      </c>
      <c r="N496" t="str" cm="1">
        <f t="array" ref="N496">_xlfn.IFS(AND(24&lt;=Table1[[#This Row],[Age]],Table1[[#This Row],[Age]]&lt;=30),"24-30",Table1[[#This Row],[Age]]&lt;=35,"31-35",Table1[[#This Row],[Age]]&lt;=40,"36-40",Table1[[#This Row],[Age]]&lt;=45,"41-45",Table1[[#This Row],[Age]]&lt;=50,"46-50",Table1[[#This Row],[Age]]&lt;=55,"51-55",Table1[[#This Row],[Age]]&lt;=60,"56-60",Table1[[#This Row],[Age]]&lt;=66,"61-66")</f>
        <v>46-50</v>
      </c>
      <c r="O496" t="s">
        <v>1074</v>
      </c>
      <c r="P496" t="str" cm="1">
        <f t="array" ref="P496">_xlfn.IFS(Table1[[#This Row],[Company Tenure]]&lt;=5,"1-5",Table1[[#This Row],[Company Tenure]]&lt;=10,"6-10",Table1[[#This Row],[Company Tenure]]&lt;=15,"11-15",Table1[[#This Row],[Company Tenure]]&lt;=20, "15-20",Table1[[#This Row],[Company Tenure]]&gt;20,"Above 20")</f>
        <v>1-5</v>
      </c>
    </row>
    <row r="497" spans="1:16" x14ac:dyDescent="0.25">
      <c r="A497" t="s">
        <v>1039</v>
      </c>
      <c r="B497" t="s">
        <v>115</v>
      </c>
      <c r="C497" t="s">
        <v>269</v>
      </c>
      <c r="D497" t="s">
        <v>8</v>
      </c>
      <c r="E497">
        <v>47</v>
      </c>
      <c r="F497" t="s">
        <v>203</v>
      </c>
      <c r="G497" t="s">
        <v>17</v>
      </c>
      <c r="H497" s="2">
        <v>48790</v>
      </c>
      <c r="I497" s="1">
        <v>39454</v>
      </c>
      <c r="J497" s="3">
        <v>18</v>
      </c>
      <c r="K497" t="s">
        <v>1040</v>
      </c>
      <c r="L497" t="s">
        <v>11</v>
      </c>
      <c r="M497">
        <v>3</v>
      </c>
      <c r="N497" t="str" cm="1">
        <f t="array" ref="N497">_xlfn.IFS(AND(24&lt;=Table1[[#This Row],[Age]],Table1[[#This Row],[Age]]&lt;=30),"24-30",Table1[[#This Row],[Age]]&lt;=35,"31-35",Table1[[#This Row],[Age]]&lt;=40,"36-40",Table1[[#This Row],[Age]]&lt;=45,"41-45",Table1[[#This Row],[Age]]&lt;=50,"46-50",Table1[[#This Row],[Age]]&lt;=55,"51-55",Table1[[#This Row],[Age]]&lt;=60,"56-60",Table1[[#This Row],[Age]]&lt;=66,"61-66")</f>
        <v>46-50</v>
      </c>
      <c r="O497" t="s">
        <v>1076</v>
      </c>
      <c r="P497" t="str" cm="1">
        <f t="array" ref="P497">_xlfn.IFS(Table1[[#This Row],[Company Tenure]]&lt;=5,"1-5",Table1[[#This Row],[Company Tenure]]&lt;=10,"6-10",Table1[[#This Row],[Company Tenure]]&lt;=15,"11-15",Table1[[#This Row],[Company Tenure]]&lt;=20, "15-20",Table1[[#This Row],[Company Tenure]]&gt;20,"Above 20")</f>
        <v>15-20</v>
      </c>
    </row>
    <row r="498" spans="1:16" x14ac:dyDescent="0.25">
      <c r="A498" t="s">
        <v>1041</v>
      </c>
      <c r="B498" t="s">
        <v>30</v>
      </c>
      <c r="C498" t="s">
        <v>80</v>
      </c>
      <c r="D498" t="s">
        <v>1</v>
      </c>
      <c r="E498">
        <v>36</v>
      </c>
      <c r="F498" t="s">
        <v>133</v>
      </c>
      <c r="G498" t="s">
        <v>63</v>
      </c>
      <c r="H498" s="2">
        <v>63652.98</v>
      </c>
      <c r="I498" s="1">
        <v>45202</v>
      </c>
      <c r="J498" s="3">
        <v>3</v>
      </c>
      <c r="K498" t="s">
        <v>1042</v>
      </c>
      <c r="L498" t="s">
        <v>28</v>
      </c>
      <c r="M498">
        <v>2</v>
      </c>
      <c r="N498" t="str" cm="1">
        <f t="array" ref="N498">_xlfn.IFS(AND(24&lt;=Table1[[#This Row],[Age]],Table1[[#This Row],[Age]]&lt;=30),"24-30",Table1[[#This Row],[Age]]&lt;=35,"31-35",Table1[[#This Row],[Age]]&lt;=40,"36-40",Table1[[#This Row],[Age]]&lt;=45,"41-45",Table1[[#This Row],[Age]]&lt;=50,"46-50",Table1[[#This Row],[Age]]&lt;=55,"51-55",Table1[[#This Row],[Age]]&lt;=60,"56-60",Table1[[#This Row],[Age]]&lt;=66,"61-66")</f>
        <v>36-40</v>
      </c>
      <c r="O498" t="s">
        <v>1077</v>
      </c>
      <c r="P498" t="str" cm="1">
        <f t="array" ref="P498">_xlfn.IFS(Table1[[#This Row],[Company Tenure]]&lt;=5,"1-5",Table1[[#This Row],[Company Tenure]]&lt;=10,"6-10",Table1[[#This Row],[Company Tenure]]&lt;=15,"11-15",Table1[[#This Row],[Company Tenure]]&lt;=20, "15-20",Table1[[#This Row],[Company Tenure]]&gt;20,"Above 20")</f>
        <v>1-5</v>
      </c>
    </row>
    <row r="499" spans="1:16" x14ac:dyDescent="0.25">
      <c r="A499" t="s">
        <v>1043</v>
      </c>
      <c r="B499" t="s">
        <v>624</v>
      </c>
      <c r="C499" t="s">
        <v>22</v>
      </c>
      <c r="D499" t="s">
        <v>23</v>
      </c>
      <c r="E499">
        <v>42</v>
      </c>
      <c r="F499" t="s">
        <v>203</v>
      </c>
      <c r="G499" t="s">
        <v>17</v>
      </c>
      <c r="H499" s="2">
        <v>58445.95</v>
      </c>
      <c r="I499" s="1">
        <v>41959</v>
      </c>
      <c r="J499" s="3">
        <v>11</v>
      </c>
      <c r="K499" t="s">
        <v>1044</v>
      </c>
      <c r="L499" t="s">
        <v>207</v>
      </c>
      <c r="M499">
        <v>3</v>
      </c>
      <c r="N499" t="str" cm="1">
        <f t="array" ref="N499">_xlfn.IFS(AND(24&lt;=Table1[[#This Row],[Age]],Table1[[#This Row],[Age]]&lt;=30),"24-30",Table1[[#This Row],[Age]]&lt;=35,"31-35",Table1[[#This Row],[Age]]&lt;=40,"36-40",Table1[[#This Row],[Age]]&lt;=45,"41-45",Table1[[#This Row],[Age]]&lt;=50,"46-50",Table1[[#This Row],[Age]]&lt;=55,"51-55",Table1[[#This Row],[Age]]&lt;=60,"56-60",Table1[[#This Row],[Age]]&lt;=66,"61-66")</f>
        <v>41-45</v>
      </c>
      <c r="O499" t="s">
        <v>1077</v>
      </c>
      <c r="P499" t="str" cm="1">
        <f t="array" ref="P499">_xlfn.IFS(Table1[[#This Row],[Company Tenure]]&lt;=5,"1-5",Table1[[#This Row],[Company Tenure]]&lt;=10,"6-10",Table1[[#This Row],[Company Tenure]]&lt;=15,"11-15",Table1[[#This Row],[Company Tenure]]&lt;=20, "15-20",Table1[[#This Row],[Company Tenure]]&gt;20,"Above 20")</f>
        <v>11-15</v>
      </c>
    </row>
    <row r="500" spans="1:16" x14ac:dyDescent="0.25">
      <c r="A500" t="s">
        <v>1045</v>
      </c>
      <c r="B500" t="s">
        <v>714</v>
      </c>
      <c r="C500" t="s">
        <v>68</v>
      </c>
      <c r="D500" t="s">
        <v>8</v>
      </c>
      <c r="E500">
        <v>28</v>
      </c>
      <c r="F500" t="s">
        <v>36</v>
      </c>
      <c r="G500" t="s">
        <v>37</v>
      </c>
      <c r="H500" s="2">
        <v>98373</v>
      </c>
      <c r="I500" s="1" t="s">
        <v>1059</v>
      </c>
      <c r="J500" s="3" t="s">
        <v>1059</v>
      </c>
      <c r="K500" t="s">
        <v>1046</v>
      </c>
      <c r="L500" t="s">
        <v>11</v>
      </c>
      <c r="M500">
        <v>5</v>
      </c>
      <c r="N500" t="str" cm="1">
        <f t="array" ref="N500">_xlfn.IFS(AND(24&lt;=Table1[[#This Row],[Age]],Table1[[#This Row],[Age]]&lt;=30),"24-30",Table1[[#This Row],[Age]]&lt;=35,"31-35",Table1[[#This Row],[Age]]&lt;=40,"36-40",Table1[[#This Row],[Age]]&lt;=45,"41-45",Table1[[#This Row],[Age]]&lt;=50,"46-50",Table1[[#This Row],[Age]]&lt;=55,"51-55",Table1[[#This Row],[Age]]&lt;=60,"56-60",Table1[[#This Row],[Age]]&lt;=66,"61-66")</f>
        <v>24-30</v>
      </c>
      <c r="O500" t="s">
        <v>1077</v>
      </c>
      <c r="P500" t="str" cm="1">
        <f t="array" ref="P500">_xlfn.IFS(Table1[[#This Row],[Company Tenure]]&lt;=5,"1-5",Table1[[#This Row],[Company Tenure]]&lt;=10,"6-10",Table1[[#This Row],[Company Tenure]]&lt;=15,"11-15",Table1[[#This Row],[Company Tenure]]&lt;=20, "15-20",Table1[[#This Row],[Company Tenure]]&gt;20,"Above 20")</f>
        <v>Above 20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3AC73-B46A-4806-B986-1C2F207442BD}">
  <dimension ref="A2:K33"/>
  <sheetViews>
    <sheetView topLeftCell="A7" workbookViewId="0">
      <selection activeCell="A12" sqref="A12"/>
    </sheetView>
  </sheetViews>
  <sheetFormatPr defaultRowHeight="15" x14ac:dyDescent="0.25"/>
  <cols>
    <col min="1" max="1" width="20.42578125" bestFit="1" customWidth="1"/>
    <col min="3" max="3" width="13.140625" bestFit="1" customWidth="1"/>
    <col min="4" max="4" width="20.42578125" bestFit="1" customWidth="1"/>
    <col min="6" max="6" width="13.140625" bestFit="1" customWidth="1"/>
    <col min="7" max="7" width="20.42578125" bestFit="1" customWidth="1"/>
    <col min="10" max="10" width="13.140625" bestFit="1" customWidth="1"/>
    <col min="11" max="11" width="20.42578125" bestFit="1" customWidth="1"/>
  </cols>
  <sheetData>
    <row r="2" spans="1:11" x14ac:dyDescent="0.25">
      <c r="A2" t="s">
        <v>1068</v>
      </c>
    </row>
    <row r="3" spans="1:11" x14ac:dyDescent="0.25">
      <c r="A3" t="s">
        <v>1071</v>
      </c>
      <c r="C3" s="4" t="s">
        <v>1069</v>
      </c>
      <c r="D3" t="s">
        <v>1071</v>
      </c>
      <c r="F3" s="4" t="s">
        <v>1069</v>
      </c>
      <c r="G3" t="s">
        <v>1071</v>
      </c>
      <c r="J3" s="4" t="s">
        <v>1069</v>
      </c>
      <c r="K3" t="s">
        <v>1071</v>
      </c>
    </row>
    <row r="4" spans="1:11" x14ac:dyDescent="0.25">
      <c r="A4" s="11">
        <v>499</v>
      </c>
      <c r="C4" s="5" t="s">
        <v>154</v>
      </c>
      <c r="D4" s="11">
        <v>50</v>
      </c>
      <c r="F4" s="5" t="s">
        <v>17</v>
      </c>
      <c r="G4" s="11">
        <v>103</v>
      </c>
      <c r="J4" s="5">
        <v>1</v>
      </c>
      <c r="K4" s="11">
        <v>25</v>
      </c>
    </row>
    <row r="5" spans="1:11" x14ac:dyDescent="0.25">
      <c r="C5" s="5" t="s">
        <v>9</v>
      </c>
      <c r="D5" s="11">
        <v>40</v>
      </c>
      <c r="F5" s="5" t="s">
        <v>44</v>
      </c>
      <c r="G5" s="11">
        <v>104</v>
      </c>
      <c r="J5" s="5">
        <v>2</v>
      </c>
      <c r="K5" s="11">
        <v>45</v>
      </c>
    </row>
    <row r="6" spans="1:11" x14ac:dyDescent="0.25">
      <c r="C6" s="5" t="s">
        <v>295</v>
      </c>
      <c r="D6" s="11">
        <v>38</v>
      </c>
      <c r="F6" s="5" t="s">
        <v>100</v>
      </c>
      <c r="G6" s="11">
        <v>40</v>
      </c>
      <c r="J6" s="5">
        <v>3</v>
      </c>
      <c r="K6" s="11">
        <v>202</v>
      </c>
    </row>
    <row r="7" spans="1:11" x14ac:dyDescent="0.25">
      <c r="A7" s="7" t="s">
        <v>1082</v>
      </c>
      <c r="C7" s="5" t="s">
        <v>181</v>
      </c>
      <c r="D7" s="11">
        <v>42</v>
      </c>
      <c r="F7" s="5" t="s">
        <v>161</v>
      </c>
      <c r="G7" s="11">
        <v>23</v>
      </c>
      <c r="J7" s="5">
        <v>4</v>
      </c>
      <c r="K7" s="11">
        <v>158</v>
      </c>
    </row>
    <row r="8" spans="1:11" x14ac:dyDescent="0.25">
      <c r="A8" s="7">
        <v>3.402805611222445</v>
      </c>
      <c r="C8" s="5" t="s">
        <v>32</v>
      </c>
      <c r="D8" s="11">
        <v>51</v>
      </c>
      <c r="F8" s="5" t="s">
        <v>2</v>
      </c>
      <c r="G8" s="11">
        <v>66</v>
      </c>
      <c r="J8" s="5">
        <v>5</v>
      </c>
      <c r="K8" s="11">
        <v>69</v>
      </c>
    </row>
    <row r="9" spans="1:11" x14ac:dyDescent="0.25">
      <c r="C9" s="5" t="s">
        <v>313</v>
      </c>
      <c r="D9" s="11">
        <v>39</v>
      </c>
      <c r="F9" s="5" t="s">
        <v>37</v>
      </c>
      <c r="G9" s="11">
        <v>59</v>
      </c>
      <c r="J9" s="5" t="s">
        <v>1070</v>
      </c>
      <c r="K9" s="11">
        <v>499</v>
      </c>
    </row>
    <row r="10" spans="1:11" x14ac:dyDescent="0.25">
      <c r="C10" s="5" t="s">
        <v>142</v>
      </c>
      <c r="D10" s="11">
        <v>56</v>
      </c>
      <c r="F10" s="5" t="s">
        <v>105</v>
      </c>
      <c r="G10" s="11">
        <v>31</v>
      </c>
    </row>
    <row r="11" spans="1:11" x14ac:dyDescent="0.25">
      <c r="A11" s="7" t="s">
        <v>1083</v>
      </c>
      <c r="C11" s="5" t="s">
        <v>203</v>
      </c>
      <c r="D11" s="11">
        <v>44</v>
      </c>
      <c r="F11" s="5" t="s">
        <v>63</v>
      </c>
      <c r="G11" s="11">
        <v>59</v>
      </c>
    </row>
    <row r="12" spans="1:11" x14ac:dyDescent="0.25">
      <c r="A12" s="12">
        <v>81393.179649298589</v>
      </c>
      <c r="C12" s="5" t="s">
        <v>36</v>
      </c>
      <c r="D12" s="11">
        <v>52</v>
      </c>
      <c r="F12" s="5" t="s">
        <v>216</v>
      </c>
      <c r="G12" s="11">
        <v>14</v>
      </c>
      <c r="J12" s="4" t="s">
        <v>1069</v>
      </c>
      <c r="K12" t="s">
        <v>1071</v>
      </c>
    </row>
    <row r="13" spans="1:11" x14ac:dyDescent="0.25">
      <c r="C13" s="5" t="s">
        <v>133</v>
      </c>
      <c r="D13" s="11">
        <v>51</v>
      </c>
      <c r="F13" s="5" t="s">
        <v>1070</v>
      </c>
      <c r="G13" s="11">
        <v>499</v>
      </c>
      <c r="J13" s="5" t="s">
        <v>207</v>
      </c>
      <c r="K13" s="11">
        <v>30</v>
      </c>
    </row>
    <row r="14" spans="1:11" x14ac:dyDescent="0.25">
      <c r="C14" s="5" t="s">
        <v>1066</v>
      </c>
      <c r="D14" s="11">
        <v>36</v>
      </c>
      <c r="J14" s="5" t="s">
        <v>14</v>
      </c>
      <c r="K14" s="11">
        <v>40</v>
      </c>
    </row>
    <row r="15" spans="1:11" x14ac:dyDescent="0.25">
      <c r="C15" s="5" t="s">
        <v>1070</v>
      </c>
      <c r="D15" s="11">
        <v>499</v>
      </c>
      <c r="J15" s="5" t="s">
        <v>120</v>
      </c>
      <c r="K15" s="11">
        <v>33</v>
      </c>
    </row>
    <row r="16" spans="1:11" x14ac:dyDescent="0.25">
      <c r="J16" s="5" t="s">
        <v>4</v>
      </c>
      <c r="K16" s="11">
        <v>26</v>
      </c>
    </row>
    <row r="17" spans="3:11" x14ac:dyDescent="0.25">
      <c r="J17" s="5" t="s">
        <v>54</v>
      </c>
      <c r="K17" s="11">
        <v>43</v>
      </c>
    </row>
    <row r="18" spans="3:11" x14ac:dyDescent="0.25">
      <c r="J18" s="5" t="s">
        <v>25</v>
      </c>
      <c r="K18" s="11">
        <v>35</v>
      </c>
    </row>
    <row r="19" spans="3:11" x14ac:dyDescent="0.25">
      <c r="C19" s="4" t="s">
        <v>1069</v>
      </c>
      <c r="D19" t="s">
        <v>1071</v>
      </c>
      <c r="F19" s="4" t="s">
        <v>1069</v>
      </c>
      <c r="G19" t="s">
        <v>1071</v>
      </c>
      <c r="J19" s="5" t="s">
        <v>49</v>
      </c>
      <c r="K19" s="11">
        <v>28</v>
      </c>
    </row>
    <row r="20" spans="3:11" x14ac:dyDescent="0.25">
      <c r="C20" s="5" t="s">
        <v>1075</v>
      </c>
      <c r="D20" s="11">
        <v>46</v>
      </c>
      <c r="F20" s="5" t="s">
        <v>1077</v>
      </c>
      <c r="G20" s="11">
        <v>334</v>
      </c>
      <c r="J20" s="5" t="s">
        <v>65</v>
      </c>
      <c r="K20" s="11">
        <v>44</v>
      </c>
    </row>
    <row r="21" spans="3:11" x14ac:dyDescent="0.25">
      <c r="C21" s="5" t="s">
        <v>1060</v>
      </c>
      <c r="D21" s="11">
        <v>60</v>
      </c>
      <c r="F21" s="5" t="s">
        <v>1074</v>
      </c>
      <c r="G21" s="11">
        <v>83</v>
      </c>
      <c r="J21" s="5" t="s">
        <v>85</v>
      </c>
      <c r="K21" s="11">
        <v>41</v>
      </c>
    </row>
    <row r="22" spans="3:11" x14ac:dyDescent="0.25">
      <c r="C22" s="5" t="s">
        <v>1061</v>
      </c>
      <c r="D22" s="11">
        <v>87</v>
      </c>
      <c r="F22" s="5" t="s">
        <v>1076</v>
      </c>
      <c r="G22" s="11">
        <v>58</v>
      </c>
      <c r="J22" s="5" t="s">
        <v>28</v>
      </c>
      <c r="K22" s="11">
        <v>34</v>
      </c>
    </row>
    <row r="23" spans="3:11" x14ac:dyDescent="0.25">
      <c r="C23" s="5" t="s">
        <v>1062</v>
      </c>
      <c r="D23" s="11">
        <v>123</v>
      </c>
      <c r="F23" s="5" t="s">
        <v>1078</v>
      </c>
      <c r="G23" s="11">
        <v>18</v>
      </c>
      <c r="J23" s="5" t="s">
        <v>39</v>
      </c>
      <c r="K23" s="11">
        <v>34</v>
      </c>
    </row>
    <row r="24" spans="3:11" x14ac:dyDescent="0.25">
      <c r="C24" s="5" t="s">
        <v>1063</v>
      </c>
      <c r="D24" s="11">
        <v>88</v>
      </c>
      <c r="F24" s="5" t="s">
        <v>1079</v>
      </c>
      <c r="G24" s="11">
        <v>6</v>
      </c>
      <c r="J24" s="5" t="s">
        <v>107</v>
      </c>
      <c r="K24" s="11">
        <v>43</v>
      </c>
    </row>
    <row r="25" spans="3:11" x14ac:dyDescent="0.25">
      <c r="C25" s="5" t="s">
        <v>1064</v>
      </c>
      <c r="D25" s="11">
        <v>65</v>
      </c>
      <c r="F25" s="5" t="s">
        <v>1070</v>
      </c>
      <c r="G25" s="11">
        <v>499</v>
      </c>
      <c r="J25" s="5" t="s">
        <v>11</v>
      </c>
      <c r="K25" s="11">
        <v>33</v>
      </c>
    </row>
    <row r="26" spans="3:11" x14ac:dyDescent="0.25">
      <c r="C26" s="5" t="s">
        <v>1065</v>
      </c>
      <c r="D26" s="11">
        <v>19</v>
      </c>
      <c r="J26" s="5" t="s">
        <v>19</v>
      </c>
      <c r="K26" s="11">
        <v>35</v>
      </c>
    </row>
    <row r="27" spans="3:11" x14ac:dyDescent="0.25">
      <c r="C27" s="5" t="s">
        <v>1080</v>
      </c>
      <c r="D27" s="11">
        <v>11</v>
      </c>
      <c r="J27" s="5" t="s">
        <v>1070</v>
      </c>
      <c r="K27" s="11">
        <v>499</v>
      </c>
    </row>
    <row r="28" spans="3:11" x14ac:dyDescent="0.25">
      <c r="C28" s="5" t="s">
        <v>1070</v>
      </c>
      <c r="D28" s="11">
        <v>499</v>
      </c>
    </row>
    <row r="29" spans="3:11" x14ac:dyDescent="0.25">
      <c r="F29" s="8" t="s">
        <v>1069</v>
      </c>
      <c r="G29" s="7" t="s">
        <v>1071</v>
      </c>
    </row>
    <row r="30" spans="3:11" x14ac:dyDescent="0.25">
      <c r="F30" s="9" t="s">
        <v>8</v>
      </c>
      <c r="G30" s="10">
        <v>163</v>
      </c>
    </row>
    <row r="31" spans="3:11" x14ac:dyDescent="0.25">
      <c r="F31" s="9" t="s">
        <v>23</v>
      </c>
      <c r="G31" s="10">
        <v>164</v>
      </c>
    </row>
    <row r="32" spans="3:11" x14ac:dyDescent="0.25">
      <c r="F32" s="9" t="s">
        <v>1</v>
      </c>
      <c r="G32" s="10">
        <v>172</v>
      </c>
    </row>
    <row r="33" spans="6:7" x14ac:dyDescent="0.25">
      <c r="F33" s="9" t="s">
        <v>1070</v>
      </c>
      <c r="G33" s="10">
        <v>499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EAF69-52F3-417D-AB84-E025CC1B23B7}">
  <dimension ref="A1"/>
  <sheetViews>
    <sheetView tabSelected="1" topLeftCell="A10" zoomScale="73" workbookViewId="0">
      <selection activeCell="X6" sqref="X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80F268-F55E-488B-8BA4-7DE04A575A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Esakki Muthu</dc:creator>
  <cp:lastModifiedBy>Esakki Muthu</cp:lastModifiedBy>
  <dcterms:created xsi:type="dcterms:W3CDTF">2026-10-08T14:42:57Z</dcterms:created>
  <dcterms:modified xsi:type="dcterms:W3CDTF">2026-10-11T08:14:53Z</dcterms:modified>
</cp:coreProperties>
</file>